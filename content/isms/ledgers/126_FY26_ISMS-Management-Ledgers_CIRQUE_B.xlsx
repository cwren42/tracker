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drawings/drawing7.xml" ContentType="application/vnd.openxmlformats-officedocument.drawing+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drawings/drawing9.xml" ContentType="application/vnd.openxmlformats-officedocument.drawing+xml"/>
  <Override PartName="/xl/tables/table9.xml" ContentType="application/vnd.openxmlformats-officedocument.spreadsheetml.table+xml"/>
  <Override PartName="/xl/drawings/drawing10.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https://cirque1-my.sharepoint.com/personal/cjwren_cirque_com/Documents/Documents/ALPS Forms/2026/"/>
    </mc:Choice>
  </mc:AlternateContent>
  <xr:revisionPtr revIDLastSave="3" documentId="13_ncr:1_{A62736B7-3277-41D4-9E69-1FD418F5D4E9}" xr6:coauthVersionLast="47" xr6:coauthVersionMax="47" xr10:uidLastSave="{534F4E0A-314B-4E2B-8027-3A50B15B1BB1}"/>
  <bookViews>
    <workbookView xWindow="-30" yWindow="690" windowWidth="27735" windowHeight="14625" tabRatio="851" activeTab="6" xr2:uid="{D559815F-FAF0-4E0C-A6A2-FC9F5D595C9D}"/>
  </bookViews>
  <sheets>
    <sheet name="F02B Asset - Info" sheetId="2" r:id="rId1"/>
    <sheet name="F03A Asset - Prototype" sheetId="4" r:id="rId2"/>
    <sheet name="F04C Asset- Supplement" sheetId="9" r:id="rId3"/>
    <sheet name="F06B BusinessPartner" sheetId="11" r:id="rId4"/>
    <sheet name="F07A Project" sheetId="13" r:id="rId5"/>
    <sheet name="F08A Non-Std Software" sheetId="20" r:id="rId6"/>
    <sheet name="F09A  Worker List" sheetId="15" r:id="rId7"/>
    <sheet name="F02-A" sheetId="7" r:id="rId8"/>
    <sheet name="F09-A" sheetId="16" r:id="rId9"/>
    <sheet name="F09-B" sheetId="21" r:id="rId10"/>
    <sheet name="Masters" sheetId="1" r:id="rId11"/>
    <sheet name="Legend" sheetId="22" r:id="rId12"/>
  </sheets>
  <definedNames>
    <definedName name="Asset_Name_Info" localSheetId="5">Info[Asset Name]</definedName>
    <definedName name="Asset_Name_Info" localSheetId="9">Info[Asset Name]</definedName>
    <definedName name="Asset_Name_Info">Info[Asset Name]</definedName>
    <definedName name="Asset_Name_Proto" localSheetId="5">Prototype[Asset Name]</definedName>
    <definedName name="Asset_Name_Proto" localSheetId="9">Prototype[Asset Name]</definedName>
    <definedName name="Asset_Name_Proto">Prototype[Asset Name]</definedName>
    <definedName name="Assets_Type" localSheetId="5">Types_of_Assets[Types of Assets]</definedName>
    <definedName name="Assets_Type" localSheetId="9">Types_of_Assets[Types of Assets]</definedName>
    <definedName name="Assets_Type">Types_of_Assets[Types of Assets]</definedName>
    <definedName name="Availability" localSheetId="5">Avail[Availability]</definedName>
    <definedName name="Availability" localSheetId="9">Avail[Availability]</definedName>
    <definedName name="Availability">Avail[Availability]</definedName>
    <definedName name="BP_Name" localSheetId="5">Business_Partner_List[Business Partner Name]</definedName>
    <definedName name="BP_Name" localSheetId="9">Business_Partner_List[Business Partner Name]</definedName>
    <definedName name="BP_Name">Business_Partner_List[Business Partner Name]</definedName>
    <definedName name="Business_Area" localSheetId="5">Business[Business Area]</definedName>
    <definedName name="Business_Area" localSheetId="9">Business[Business Area]</definedName>
    <definedName name="Business_Area">Business[Business Area]</definedName>
    <definedName name="Category_N" localSheetId="5">Information_Category_N[Information Category N]</definedName>
    <definedName name="Category_N" localSheetId="9">Information_Category_N[Information Category N]</definedName>
    <definedName name="Category_N">Information_Category_N[Information Category N]</definedName>
    <definedName name="Confidentiality" localSheetId="5">Confi[Confidentiality]</definedName>
    <definedName name="Confidentiality" localSheetId="9">Confi[Confidentiality]</definedName>
    <definedName name="Confidentiality">Confi[Confidentiality]</definedName>
    <definedName name="Critical_Information_Classification" localSheetId="5">Classifications[Critical Information Classification]</definedName>
    <definedName name="Critical_Information_Classification" localSheetId="9">Classifications[Critical Information Classification]</definedName>
    <definedName name="Critical_Information_Classification">Classifications[Critical Information Classification]</definedName>
    <definedName name="Customer_Name" localSheetId="5">Customer[Customer Name]</definedName>
    <definedName name="Customer_Name" localSheetId="9">Customer[Customer Name]</definedName>
    <definedName name="Customer_Name">Customer[Customer Name]</definedName>
    <definedName name="External_Public" localSheetId="5">Publicity[External Public]</definedName>
    <definedName name="External_Public" localSheetId="9">Publicity[External Public]</definedName>
    <definedName name="External_Public">Publicity[External Public]</definedName>
    <definedName name="Information_Category" localSheetId="5">Info_Category[Information Category]</definedName>
    <definedName name="Information_Category" localSheetId="9">Info_Category[Information Category]</definedName>
    <definedName name="Information_Category">Info_Category[Information Category]</definedName>
    <definedName name="Integrity" localSheetId="5">Integ[Integrity]</definedName>
    <definedName name="Integrity" localSheetId="9">Integ[Integrity]</definedName>
    <definedName name="Integrity">Integ[Integrity]</definedName>
    <definedName name="License_Type" localSheetId="5">LicenseType[License_Type]</definedName>
    <definedName name="License_Type" localSheetId="9">LicenseType[License_Type]</definedName>
    <definedName name="License_Type">LicenseType[License_Type]</definedName>
    <definedName name="Media_form" localSheetId="5">Media_form_T[Media form]</definedName>
    <definedName name="Media_form" localSheetId="9">Media_form_T[Media form]</definedName>
    <definedName name="Media_form">Media_form_T[Media form]</definedName>
    <definedName name="Name_Mail">Worker_List[Name (Mail)]</definedName>
    <definedName name="Project_Name" localSheetId="5">Project_List[Project Name]</definedName>
    <definedName name="Project_Name" localSheetId="9">Project_List[Project Name]</definedName>
    <definedName name="Project_Name">Project_List[Project Name]</definedName>
    <definedName name="Required_Protect_Class" localSheetId="5">ProtectClass[Required Protect Class]</definedName>
    <definedName name="Required_Protect_Class" localSheetId="9">ProtectClass[Required Protect Class]</definedName>
    <definedName name="Required_Protect_Class">ProtectClass[Required Protect Class]</definedName>
    <definedName name="Software_Name">SoftWare[Asset Name]</definedName>
    <definedName name="Store_Area" localSheetId="5">Store_Select[Store_Area]</definedName>
    <definedName name="Store_Area" localSheetId="9">Store_Select[Store_Area]</definedName>
    <definedName name="Store_Area">Store_Select[Store_Area]</definedName>
    <definedName name="Subscription" localSheetId="5">LicenseType[License_Type]</definedName>
    <definedName name="Subscription" localSheetId="9">LicenseType[License_Type]</definedName>
    <definedName name="Subscription">LicenseType[License_Type]</definedName>
    <definedName name="SupplimentName" localSheetId="5">SoftWare[Asset Name]</definedName>
    <definedName name="SupplimentName" localSheetId="9">Supplement[Asset Name]</definedName>
    <definedName name="SupplimentName">Supplement[Asset Name]</definedName>
    <definedName name="Threat_probality_Class" localSheetId="5">TreatClass[Threat probality Class]</definedName>
    <definedName name="Threat_probality_Class" localSheetId="9">TreatClass[Threat probality Class]</definedName>
    <definedName name="Threat_probality_Class">TreatClass[Threat probality Class]</definedName>
    <definedName name="Vulnerability_Class" localSheetId="5">Vulnerability[Vulnerability Class]</definedName>
    <definedName name="Vulnerability_Class" localSheetId="9">Vulnerability[Vulnerability Class]</definedName>
    <definedName name="Vulnerability_Class">Vulnerability[Vulnerability Class]</definedName>
    <definedName name="Worker_Name" localSheetId="5">Worker_List[Name of the person engaged]</definedName>
    <definedName name="Worker_Name" localSheetId="9">Worker_List[Name of the person engaged]</definedName>
    <definedName name="Worker_Name">Worker_List[Name of the person engaged]</definedName>
    <definedName name="Worker_type" localSheetId="5">テーブル22[Worker_Type]</definedName>
    <definedName name="Worker_type" localSheetId="9">テーブル22[Worker_Type]</definedName>
    <definedName name="Worker_type">テーブル22[Worker_Type]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5" l="1"/>
  <c r="G8" i="15"/>
  <c r="G9" i="15"/>
  <c r="G10" i="15"/>
  <c r="G11" i="15"/>
  <c r="G12" i="15"/>
  <c r="G13" i="15"/>
  <c r="G14" i="15"/>
  <c r="G15" i="15"/>
  <c r="G16" i="15"/>
  <c r="G17" i="15"/>
  <c r="G18" i="15"/>
  <c r="G19" i="15"/>
  <c r="G20" i="15"/>
  <c r="G21" i="15"/>
  <c r="G22" i="15"/>
  <c r="G23" i="15"/>
  <c r="G24" i="15"/>
  <c r="G25" i="15"/>
  <c r="G26" i="15"/>
  <c r="G27" i="15"/>
  <c r="G28" i="15"/>
  <c r="G29" i="15"/>
  <c r="G30" i="15"/>
  <c r="G31" i="15"/>
  <c r="G32" i="15"/>
  <c r="G33" i="15"/>
  <c r="G34" i="15"/>
  <c r="G35" i="15"/>
  <c r="G36" i="15"/>
  <c r="G37" i="15"/>
  <c r="G38" i="15"/>
  <c r="G39" i="15"/>
  <c r="G40" i="15"/>
  <c r="G41" i="15"/>
  <c r="G42" i="15"/>
  <c r="G43" i="15"/>
  <c r="G44" i="15"/>
  <c r="G45" i="15"/>
  <c r="G46" i="15"/>
  <c r="G47" i="15"/>
  <c r="G48" i="15"/>
  <c r="G49" i="15"/>
  <c r="G50" i="15"/>
  <c r="G51" i="15"/>
  <c r="G52" i="15"/>
  <c r="G53" i="15"/>
  <c r="G54" i="15"/>
  <c r="G55" i="15"/>
  <c r="G56" i="15"/>
  <c r="G57" i="15"/>
  <c r="G58" i="15"/>
  <c r="G59" i="15"/>
  <c r="G60" i="15"/>
  <c r="G61" i="15"/>
  <c r="G62" i="15"/>
  <c r="G63" i="15"/>
  <c r="G64" i="15"/>
  <c r="G65" i="15"/>
  <c r="G66" i="15"/>
  <c r="G67" i="15"/>
  <c r="G68" i="15"/>
  <c r="G69" i="15"/>
  <c r="G70" i="15"/>
  <c r="G71" i="15"/>
  <c r="G72" i="15"/>
  <c r="G73" i="15"/>
  <c r="G74" i="15"/>
  <c r="G75" i="15"/>
  <c r="G76" i="15"/>
  <c r="G77" i="15"/>
  <c r="G78" i="15"/>
  <c r="Y7" i="15"/>
  <c r="Y8" i="15"/>
  <c r="Y9" i="15"/>
  <c r="Y10" i="15"/>
  <c r="Y11" i="15"/>
  <c r="Y12" i="15"/>
  <c r="Y13" i="15"/>
  <c r="Y14" i="15"/>
  <c r="Y15" i="15"/>
  <c r="Y16" i="15"/>
  <c r="Y17" i="15"/>
  <c r="Y18" i="15"/>
  <c r="Y19" i="15"/>
  <c r="Y20" i="15"/>
  <c r="Y21" i="15"/>
  <c r="Y22" i="15"/>
  <c r="Y23" i="15"/>
  <c r="Y24" i="15"/>
  <c r="Y25" i="15"/>
  <c r="Y26" i="15"/>
  <c r="Y27" i="15"/>
  <c r="Y28" i="15"/>
  <c r="Y29" i="15"/>
  <c r="Y30" i="15"/>
  <c r="Y31" i="15"/>
  <c r="Y32" i="15"/>
  <c r="Y33" i="15"/>
  <c r="Y34" i="15"/>
  <c r="Y35" i="15"/>
  <c r="Y36" i="15"/>
  <c r="Y37" i="15"/>
  <c r="Y38" i="15"/>
  <c r="Y39" i="15"/>
  <c r="Y40" i="15"/>
  <c r="Y41" i="15"/>
  <c r="Y42" i="15"/>
  <c r="Y43" i="15"/>
  <c r="Y44" i="15"/>
  <c r="Y45" i="15"/>
  <c r="Y46" i="15"/>
  <c r="Y47" i="15"/>
  <c r="Y48" i="15"/>
  <c r="Y49" i="15"/>
  <c r="Y50" i="15"/>
  <c r="Y51" i="15"/>
  <c r="Y52" i="15"/>
  <c r="Y53" i="15"/>
  <c r="Y54" i="15"/>
  <c r="Y55" i="15"/>
  <c r="Y56" i="15"/>
  <c r="Y57" i="15"/>
  <c r="Y58" i="15"/>
  <c r="Y59" i="15"/>
  <c r="Y60" i="15"/>
  <c r="Y61" i="15"/>
  <c r="Y62" i="15"/>
  <c r="Y63" i="15"/>
  <c r="Y64" i="15"/>
  <c r="Y65" i="15"/>
  <c r="Y66" i="15"/>
  <c r="Y67" i="15"/>
  <c r="Y68" i="15"/>
  <c r="Y69" i="15"/>
  <c r="Y70" i="15"/>
  <c r="Y71" i="15"/>
  <c r="Y72" i="15"/>
  <c r="Y73" i="15"/>
  <c r="Y74" i="15"/>
  <c r="Y75" i="15"/>
  <c r="Y76" i="15"/>
  <c r="Y77" i="15"/>
  <c r="Y78" i="15"/>
  <c r="Z7" i="15"/>
  <c r="Z8" i="15"/>
  <c r="Z9" i="15"/>
  <c r="Z10" i="15"/>
  <c r="Z11" i="15"/>
  <c r="Z12" i="15"/>
  <c r="Z13" i="15"/>
  <c r="Z14" i="15"/>
  <c r="Z15" i="15"/>
  <c r="Z16" i="15"/>
  <c r="Z17" i="15"/>
  <c r="Z18" i="15"/>
  <c r="Z19" i="15"/>
  <c r="Z20" i="15"/>
  <c r="Z21" i="15"/>
  <c r="Z22" i="15"/>
  <c r="Z23" i="15"/>
  <c r="Z24" i="15"/>
  <c r="Z25" i="15"/>
  <c r="Z26" i="15"/>
  <c r="Z27" i="15"/>
  <c r="Z28" i="15"/>
  <c r="Z29" i="15"/>
  <c r="Z30" i="15"/>
  <c r="Z31" i="15"/>
  <c r="Z32" i="15"/>
  <c r="Z33" i="15"/>
  <c r="Z34" i="15"/>
  <c r="Z35" i="15"/>
  <c r="Z36" i="15"/>
  <c r="Z37" i="15"/>
  <c r="Z38" i="15"/>
  <c r="Z39" i="15"/>
  <c r="Z40" i="15"/>
  <c r="Z41" i="15"/>
  <c r="Z42" i="15"/>
  <c r="Z43" i="15"/>
  <c r="Z44" i="15"/>
  <c r="Z45" i="15"/>
  <c r="Z46" i="15"/>
  <c r="Z47" i="15"/>
  <c r="Z48" i="15"/>
  <c r="Z49" i="15"/>
  <c r="Z50" i="15"/>
  <c r="Z51" i="15"/>
  <c r="Z52" i="15"/>
  <c r="Z53" i="15"/>
  <c r="Z54" i="15"/>
  <c r="Z55" i="15"/>
  <c r="Z56" i="15"/>
  <c r="Z57" i="15"/>
  <c r="Z58" i="15"/>
  <c r="Z59" i="15"/>
  <c r="Z60" i="15"/>
  <c r="Z61" i="15"/>
  <c r="Z62" i="15"/>
  <c r="Z63" i="15"/>
  <c r="Z64" i="15"/>
  <c r="Z65" i="15"/>
  <c r="Z66" i="15"/>
  <c r="Z67" i="15"/>
  <c r="Z68" i="15"/>
  <c r="Z69" i="15"/>
  <c r="Z70" i="15"/>
  <c r="Z71" i="15"/>
  <c r="Z72" i="15"/>
  <c r="Z73" i="15"/>
  <c r="Z74" i="15"/>
  <c r="Z75" i="15"/>
  <c r="Z76" i="15"/>
  <c r="Z77" i="15"/>
  <c r="Z78" i="15"/>
  <c r="Q7" i="11"/>
  <c r="Q8" i="11"/>
  <c r="Q9" i="11"/>
  <c r="Q10" i="11"/>
  <c r="Q11" i="11"/>
  <c r="AA7" i="11"/>
  <c r="AA8" i="11"/>
  <c r="AA9" i="11"/>
  <c r="AA10" i="11"/>
  <c r="AA11" i="11"/>
  <c r="AB7" i="11"/>
  <c r="AB8" i="11"/>
  <c r="AB9" i="11"/>
  <c r="AB10" i="11"/>
  <c r="AB11" i="11"/>
  <c r="X6" i="9"/>
  <c r="X7" i="9"/>
  <c r="AB7" i="9" s="1"/>
  <c r="X8" i="9"/>
  <c r="AB8" i="9" s="1"/>
  <c r="X9" i="9"/>
  <c r="AB9" i="9" s="1"/>
  <c r="X10" i="9"/>
  <c r="AB10" i="9" s="1"/>
  <c r="X11" i="9"/>
  <c r="AB11" i="9" s="1"/>
  <c r="X12" i="9"/>
  <c r="X13" i="9"/>
  <c r="X14" i="9"/>
  <c r="X15" i="9"/>
  <c r="X16" i="9"/>
  <c r="AB16" i="9" s="1"/>
  <c r="X17" i="9"/>
  <c r="AB17" i="9" s="1"/>
  <c r="X18" i="9"/>
  <c r="AB18" i="9" s="1"/>
  <c r="X19" i="9"/>
  <c r="X20" i="9"/>
  <c r="X21" i="9"/>
  <c r="AB21" i="9" s="1"/>
  <c r="X22" i="9"/>
  <c r="AB22" i="9" s="1"/>
  <c r="X23" i="9"/>
  <c r="AB23" i="9" s="1"/>
  <c r="X24" i="9"/>
  <c r="AB24" i="9" s="1"/>
  <c r="X25" i="9"/>
  <c r="AB25" i="9" s="1"/>
  <c r="X26" i="9"/>
  <c r="X27" i="9"/>
  <c r="X28" i="9"/>
  <c r="X29" i="9"/>
  <c r="X30" i="9"/>
  <c r="X31" i="9"/>
  <c r="AB31" i="9" s="1"/>
  <c r="X32" i="9"/>
  <c r="AB32" i="9" s="1"/>
  <c r="X33" i="9"/>
  <c r="X34" i="9"/>
  <c r="X35" i="9"/>
  <c r="AB35" i="9" s="1"/>
  <c r="X36" i="9"/>
  <c r="AB36" i="9" s="1"/>
  <c r="X37" i="9"/>
  <c r="AB37" i="9" s="1"/>
  <c r="X38" i="9"/>
  <c r="AB38" i="9" s="1"/>
  <c r="X39" i="9"/>
  <c r="AB39" i="9" s="1"/>
  <c r="X40" i="9"/>
  <c r="X41" i="9"/>
  <c r="X42" i="9"/>
  <c r="X43" i="9"/>
  <c r="X44" i="9"/>
  <c r="AB44" i="9" s="1"/>
  <c r="X45" i="9"/>
  <c r="AB45" i="9" s="1"/>
  <c r="X46" i="9"/>
  <c r="AB46" i="9" s="1"/>
  <c r="X47" i="9"/>
  <c r="X48" i="9"/>
  <c r="X49" i="9"/>
  <c r="AB49" i="9" s="1"/>
  <c r="X50" i="9"/>
  <c r="AB50" i="9" s="1"/>
  <c r="X51" i="9"/>
  <c r="AB51" i="9" s="1"/>
  <c r="X52" i="9"/>
  <c r="AB52" i="9" s="1"/>
  <c r="X53" i="9"/>
  <c r="AB53" i="9" s="1"/>
  <c r="X54" i="9"/>
  <c r="X55" i="9"/>
  <c r="X56" i="9"/>
  <c r="X57" i="9"/>
  <c r="X58" i="9"/>
  <c r="X59" i="9"/>
  <c r="AB59" i="9" s="1"/>
  <c r="X60" i="9"/>
  <c r="AB60" i="9" s="1"/>
  <c r="X61" i="9"/>
  <c r="X62" i="9"/>
  <c r="X63" i="9"/>
  <c r="AB63" i="9" s="1"/>
  <c r="X64" i="9"/>
  <c r="AB64" i="9" s="1"/>
  <c r="X65" i="9"/>
  <c r="AB65" i="9" s="1"/>
  <c r="X66" i="9"/>
  <c r="AB66" i="9" s="1"/>
  <c r="X67" i="9"/>
  <c r="AB67" i="9" s="1"/>
  <c r="X68" i="9"/>
  <c r="X69" i="9"/>
  <c r="X70" i="9"/>
  <c r="X71" i="9"/>
  <c r="X72" i="9"/>
  <c r="X73" i="9"/>
  <c r="X74" i="9"/>
  <c r="AB74" i="9" s="1"/>
  <c r="X75" i="9"/>
  <c r="X76" i="9"/>
  <c r="X77" i="9"/>
  <c r="AB77" i="9" s="1"/>
  <c r="X78" i="9"/>
  <c r="AB78" i="9" s="1"/>
  <c r="X79" i="9"/>
  <c r="AB79" i="9" s="1"/>
  <c r="X80" i="9"/>
  <c r="AB80" i="9" s="1"/>
  <c r="X81" i="9"/>
  <c r="AB81" i="9" s="1"/>
  <c r="X82" i="9"/>
  <c r="X83" i="9"/>
  <c r="X84" i="9"/>
  <c r="X85" i="9"/>
  <c r="X86" i="9"/>
  <c r="AB86" i="9" s="1"/>
  <c r="X87" i="9"/>
  <c r="AB87" i="9" s="1"/>
  <c r="X88" i="9"/>
  <c r="AB88" i="9" s="1"/>
  <c r="X89" i="9"/>
  <c r="X90" i="9"/>
  <c r="X91" i="9"/>
  <c r="AB91" i="9" s="1"/>
  <c r="X92" i="9"/>
  <c r="AB92" i="9" s="1"/>
  <c r="X93" i="9"/>
  <c r="AB93" i="9" s="1"/>
  <c r="X94" i="9"/>
  <c r="AB94" i="9" s="1"/>
  <c r="X95" i="9"/>
  <c r="AB95" i="9" s="1"/>
  <c r="X96" i="9"/>
  <c r="X97" i="9"/>
  <c r="X98" i="9"/>
  <c r="X99" i="9"/>
  <c r="X100" i="9"/>
  <c r="AA7" i="9"/>
  <c r="AA8" i="9"/>
  <c r="AA9" i="9"/>
  <c r="AA10" i="9"/>
  <c r="AA11" i="9"/>
  <c r="AA12" i="9"/>
  <c r="AA13" i="9"/>
  <c r="AB13" i="9" s="1"/>
  <c r="AA14" i="9"/>
  <c r="AA15" i="9"/>
  <c r="AA16" i="9"/>
  <c r="AA17" i="9"/>
  <c r="AA18" i="9"/>
  <c r="AA19" i="9"/>
  <c r="AA20" i="9"/>
  <c r="AA21" i="9"/>
  <c r="AA22" i="9"/>
  <c r="AA23" i="9"/>
  <c r="AA24" i="9"/>
  <c r="AA25" i="9"/>
  <c r="AA26" i="9"/>
  <c r="AB26" i="9" s="1"/>
  <c r="AA27" i="9"/>
  <c r="AB27" i="9" s="1"/>
  <c r="AA28" i="9"/>
  <c r="AA29" i="9"/>
  <c r="AB29" i="9" s="1"/>
  <c r="AA30" i="9"/>
  <c r="AA31" i="9"/>
  <c r="AA32" i="9"/>
  <c r="AA33" i="9"/>
  <c r="AA34" i="9"/>
  <c r="AA35" i="9"/>
  <c r="AA36" i="9"/>
  <c r="AA37" i="9"/>
  <c r="AA38" i="9"/>
  <c r="AA39" i="9"/>
  <c r="AA40" i="9"/>
  <c r="AA41" i="9"/>
  <c r="AB41" i="9" s="1"/>
  <c r="AA42" i="9"/>
  <c r="AA43" i="9"/>
  <c r="AB43" i="9" s="1"/>
  <c r="AA44" i="9"/>
  <c r="AA45" i="9"/>
  <c r="AA46" i="9"/>
  <c r="AA47" i="9"/>
  <c r="AA48" i="9"/>
  <c r="AA49" i="9"/>
  <c r="AA50" i="9"/>
  <c r="AA51" i="9"/>
  <c r="AA52" i="9"/>
  <c r="AA53" i="9"/>
  <c r="AA54" i="9"/>
  <c r="AA55" i="9"/>
  <c r="AB55" i="9" s="1"/>
  <c r="AA56" i="9"/>
  <c r="AA57" i="9"/>
  <c r="AB57" i="9" s="1"/>
  <c r="AA58" i="9"/>
  <c r="AA59" i="9"/>
  <c r="AA60" i="9"/>
  <c r="AA61" i="9"/>
  <c r="AA62" i="9"/>
  <c r="AA63" i="9"/>
  <c r="AA64" i="9"/>
  <c r="AA65" i="9"/>
  <c r="AA66" i="9"/>
  <c r="AA67" i="9"/>
  <c r="AA68" i="9"/>
  <c r="AA69" i="9"/>
  <c r="AB69" i="9" s="1"/>
  <c r="AA70" i="9"/>
  <c r="AA71" i="9"/>
  <c r="AB71" i="9" s="1"/>
  <c r="AA72" i="9"/>
  <c r="AA73" i="9"/>
  <c r="AA74" i="9"/>
  <c r="AA75" i="9"/>
  <c r="AA76" i="9"/>
  <c r="AA77" i="9"/>
  <c r="AA78" i="9"/>
  <c r="AA79" i="9"/>
  <c r="AA80" i="9"/>
  <c r="AA81" i="9"/>
  <c r="AA82" i="9"/>
  <c r="AA83" i="9"/>
  <c r="AB83" i="9" s="1"/>
  <c r="AA84" i="9"/>
  <c r="AA85" i="9"/>
  <c r="AA86" i="9"/>
  <c r="AA87" i="9"/>
  <c r="AA88" i="9"/>
  <c r="AA89" i="9"/>
  <c r="AA90" i="9"/>
  <c r="AA91" i="9"/>
  <c r="AA92" i="9"/>
  <c r="AA93" i="9"/>
  <c r="AA94" i="9"/>
  <c r="AA95" i="9"/>
  <c r="AA96" i="9"/>
  <c r="AA97" i="9"/>
  <c r="AB97" i="9" s="1"/>
  <c r="AA98" i="9"/>
  <c r="AA99" i="9"/>
  <c r="AB99" i="9" s="1"/>
  <c r="AA100" i="9"/>
  <c r="AB30" i="9"/>
  <c r="AB58" i="9"/>
  <c r="AB72" i="9"/>
  <c r="AB73" i="9"/>
  <c r="AB100" i="9"/>
  <c r="AJ7" i="9"/>
  <c r="AJ8" i="9"/>
  <c r="AJ9" i="9"/>
  <c r="AJ10" i="9"/>
  <c r="AJ11" i="9"/>
  <c r="AJ12" i="9"/>
  <c r="AJ13" i="9"/>
  <c r="AJ14" i="9"/>
  <c r="AJ15" i="9"/>
  <c r="AJ16" i="9"/>
  <c r="AJ17" i="9"/>
  <c r="AJ18" i="9"/>
  <c r="AJ19" i="9"/>
  <c r="AJ20" i="9"/>
  <c r="AJ21" i="9"/>
  <c r="AJ22" i="9"/>
  <c r="AJ23" i="9"/>
  <c r="AJ24" i="9"/>
  <c r="AJ25" i="9"/>
  <c r="AJ26" i="9"/>
  <c r="AJ27" i="9"/>
  <c r="AJ28" i="9"/>
  <c r="AJ29" i="9"/>
  <c r="AJ30" i="9"/>
  <c r="AJ31" i="9"/>
  <c r="AJ32" i="9"/>
  <c r="AJ33" i="9"/>
  <c r="AJ34" i="9"/>
  <c r="AJ35" i="9"/>
  <c r="AJ36" i="9"/>
  <c r="AJ37" i="9"/>
  <c r="AJ38" i="9"/>
  <c r="AJ39" i="9"/>
  <c r="AJ40" i="9"/>
  <c r="AJ41" i="9"/>
  <c r="AJ42" i="9"/>
  <c r="AJ43" i="9"/>
  <c r="AJ44" i="9"/>
  <c r="AJ45" i="9"/>
  <c r="AJ46" i="9"/>
  <c r="AJ47" i="9"/>
  <c r="AJ48" i="9"/>
  <c r="AJ49" i="9"/>
  <c r="AJ50" i="9"/>
  <c r="AJ51" i="9"/>
  <c r="AJ52" i="9"/>
  <c r="AJ53" i="9"/>
  <c r="AJ54" i="9"/>
  <c r="AJ55" i="9"/>
  <c r="AJ56" i="9"/>
  <c r="AJ57" i="9"/>
  <c r="AJ58" i="9"/>
  <c r="AJ59" i="9"/>
  <c r="AJ60" i="9"/>
  <c r="AJ61" i="9"/>
  <c r="AJ62" i="9"/>
  <c r="AJ63" i="9"/>
  <c r="AJ64" i="9"/>
  <c r="AJ65" i="9"/>
  <c r="AJ66" i="9"/>
  <c r="AJ67" i="9"/>
  <c r="AJ68" i="9"/>
  <c r="AJ69" i="9"/>
  <c r="AJ70" i="9"/>
  <c r="AJ71" i="9"/>
  <c r="AJ72" i="9"/>
  <c r="AJ73" i="9"/>
  <c r="AJ74" i="9"/>
  <c r="AJ75" i="9"/>
  <c r="AJ76" i="9"/>
  <c r="AJ77" i="9"/>
  <c r="AJ78" i="9"/>
  <c r="AJ79" i="9"/>
  <c r="AJ80" i="9"/>
  <c r="AJ81" i="9"/>
  <c r="AJ82" i="9"/>
  <c r="AJ83" i="9"/>
  <c r="AJ84" i="9"/>
  <c r="AJ85" i="9"/>
  <c r="AJ86" i="9"/>
  <c r="AJ87" i="9"/>
  <c r="AJ88" i="9"/>
  <c r="AJ89" i="9"/>
  <c r="AJ90" i="9"/>
  <c r="AJ91" i="9"/>
  <c r="AJ92" i="9"/>
  <c r="AJ93" i="9"/>
  <c r="AJ94" i="9"/>
  <c r="AJ95" i="9"/>
  <c r="AJ96" i="9"/>
  <c r="AJ97" i="9"/>
  <c r="AJ98" i="9"/>
  <c r="AJ99" i="9"/>
  <c r="AJ100" i="9"/>
  <c r="AK7" i="9"/>
  <c r="AK8" i="9"/>
  <c r="AK9" i="9"/>
  <c r="AK10" i="9"/>
  <c r="AK11" i="9"/>
  <c r="AK12" i="9"/>
  <c r="AK13" i="9"/>
  <c r="AK14" i="9"/>
  <c r="AK15" i="9"/>
  <c r="AK16" i="9"/>
  <c r="AK17" i="9"/>
  <c r="AK18" i="9"/>
  <c r="AK19" i="9"/>
  <c r="AK20" i="9"/>
  <c r="AK21" i="9"/>
  <c r="AK22" i="9"/>
  <c r="AK23" i="9"/>
  <c r="AK24" i="9"/>
  <c r="AK25" i="9"/>
  <c r="AK26" i="9"/>
  <c r="AK27" i="9"/>
  <c r="AK28" i="9"/>
  <c r="AK29" i="9"/>
  <c r="AK30" i="9"/>
  <c r="AK31" i="9"/>
  <c r="AK32" i="9"/>
  <c r="AK33" i="9"/>
  <c r="AK34" i="9"/>
  <c r="AK35" i="9"/>
  <c r="AK36" i="9"/>
  <c r="AK37" i="9"/>
  <c r="AK38" i="9"/>
  <c r="AK39" i="9"/>
  <c r="AK40" i="9"/>
  <c r="AK41" i="9"/>
  <c r="AK42" i="9"/>
  <c r="AK43" i="9"/>
  <c r="AK44" i="9"/>
  <c r="AK45" i="9"/>
  <c r="AK46" i="9"/>
  <c r="AK47" i="9"/>
  <c r="AK48" i="9"/>
  <c r="AK49" i="9"/>
  <c r="AK50" i="9"/>
  <c r="AK51" i="9"/>
  <c r="AK52" i="9"/>
  <c r="AK53" i="9"/>
  <c r="AK54" i="9"/>
  <c r="AK55" i="9"/>
  <c r="AK56" i="9"/>
  <c r="AK57" i="9"/>
  <c r="AK58" i="9"/>
  <c r="AK59" i="9"/>
  <c r="AK60" i="9"/>
  <c r="AK61" i="9"/>
  <c r="AK62" i="9"/>
  <c r="AK63" i="9"/>
  <c r="AK64" i="9"/>
  <c r="AK65" i="9"/>
  <c r="AK66" i="9"/>
  <c r="AK67" i="9"/>
  <c r="AK68" i="9"/>
  <c r="AK69" i="9"/>
  <c r="AK70" i="9"/>
  <c r="AK71" i="9"/>
  <c r="AK72" i="9"/>
  <c r="AK73" i="9"/>
  <c r="AK74" i="9"/>
  <c r="AK75" i="9"/>
  <c r="AK76" i="9"/>
  <c r="AK77" i="9"/>
  <c r="AK78" i="9"/>
  <c r="AK79" i="9"/>
  <c r="AK80" i="9"/>
  <c r="AK81" i="9"/>
  <c r="AK82" i="9"/>
  <c r="AK83" i="9"/>
  <c r="AK84" i="9"/>
  <c r="AK85" i="9"/>
  <c r="AK86" i="9"/>
  <c r="AK87" i="9"/>
  <c r="AK88" i="9"/>
  <c r="AK89" i="9"/>
  <c r="AK90" i="9"/>
  <c r="AK91" i="9"/>
  <c r="AK92" i="9"/>
  <c r="AK93" i="9"/>
  <c r="AK94" i="9"/>
  <c r="AK95" i="9"/>
  <c r="AK96" i="9"/>
  <c r="AK97" i="9"/>
  <c r="AK98" i="9"/>
  <c r="AK99" i="9"/>
  <c r="AK100" i="9"/>
  <c r="V6" i="2"/>
  <c r="V7" i="2"/>
  <c r="V8" i="2"/>
  <c r="V9" i="2"/>
  <c r="V10" i="2"/>
  <c r="V11" i="2"/>
  <c r="V12" i="2"/>
  <c r="V13" i="2"/>
  <c r="V14" i="2"/>
  <c r="V15" i="2"/>
  <c r="V16" i="2"/>
  <c r="Z16" i="2" s="1"/>
  <c r="V17" i="2"/>
  <c r="V18" i="2"/>
  <c r="V19" i="2"/>
  <c r="V20" i="2"/>
  <c r="Z20" i="2" s="1"/>
  <c r="V21" i="2"/>
  <c r="V22" i="2"/>
  <c r="V23" i="2"/>
  <c r="V24" i="2"/>
  <c r="V25" i="2"/>
  <c r="V26" i="2"/>
  <c r="V27" i="2"/>
  <c r="V28" i="2"/>
  <c r="V29" i="2"/>
  <c r="V30" i="2"/>
  <c r="Z30" i="2" s="1"/>
  <c r="V31" i="2"/>
  <c r="V32" i="2"/>
  <c r="V33" i="2"/>
  <c r="V34" i="2"/>
  <c r="Z34" i="2" s="1"/>
  <c r="V35" i="2"/>
  <c r="V36" i="2"/>
  <c r="V37" i="2"/>
  <c r="V38" i="2"/>
  <c r="V39" i="2"/>
  <c r="V40" i="2"/>
  <c r="V41" i="2"/>
  <c r="V42" i="2"/>
  <c r="V43" i="2"/>
  <c r="V44" i="2"/>
  <c r="Z44" i="2" s="1"/>
  <c r="V45" i="2"/>
  <c r="V46" i="2"/>
  <c r="V47" i="2"/>
  <c r="V48" i="2"/>
  <c r="Z48" i="2" s="1"/>
  <c r="V49" i="2"/>
  <c r="V50" i="2"/>
  <c r="V51" i="2"/>
  <c r="V52" i="2"/>
  <c r="V53" i="2"/>
  <c r="V54" i="2"/>
  <c r="V55" i="2"/>
  <c r="V56" i="2"/>
  <c r="V57" i="2"/>
  <c r="V58" i="2"/>
  <c r="Z58" i="2" s="1"/>
  <c r="V59" i="2"/>
  <c r="V60" i="2"/>
  <c r="V61" i="2"/>
  <c r="V62" i="2"/>
  <c r="Z62" i="2" s="1"/>
  <c r="V63" i="2"/>
  <c r="V64" i="2"/>
  <c r="V65" i="2"/>
  <c r="V66" i="2"/>
  <c r="V67" i="2"/>
  <c r="V68" i="2"/>
  <c r="V69" i="2"/>
  <c r="V70" i="2"/>
  <c r="V71" i="2"/>
  <c r="V72" i="2"/>
  <c r="Z72" i="2" s="1"/>
  <c r="V73" i="2"/>
  <c r="V74" i="2"/>
  <c r="V75" i="2"/>
  <c r="V76" i="2"/>
  <c r="Z76" i="2" s="1"/>
  <c r="V77" i="2"/>
  <c r="V78" i="2"/>
  <c r="V79" i="2"/>
  <c r="V80" i="2"/>
  <c r="V81" i="2"/>
  <c r="V82" i="2"/>
  <c r="V83" i="2"/>
  <c r="V84" i="2"/>
  <c r="V85" i="2"/>
  <c r="V86" i="2"/>
  <c r="Z86" i="2" s="1"/>
  <c r="V87" i="2"/>
  <c r="V88" i="2"/>
  <c r="V89" i="2"/>
  <c r="V90" i="2"/>
  <c r="Z90" i="2" s="1"/>
  <c r="V91" i="2"/>
  <c r="V92" i="2"/>
  <c r="V93" i="2"/>
  <c r="V94" i="2"/>
  <c r="V95" i="2"/>
  <c r="Y7" i="2"/>
  <c r="Y8" i="2"/>
  <c r="Y9" i="2"/>
  <c r="Y10" i="2"/>
  <c r="Y11" i="2"/>
  <c r="Z11" i="2" s="1"/>
  <c r="Y12" i="2"/>
  <c r="Z12" i="2" s="1"/>
  <c r="Y13" i="2"/>
  <c r="Y14" i="2"/>
  <c r="Y15" i="2"/>
  <c r="Y16" i="2"/>
  <c r="Y17" i="2"/>
  <c r="Y18" i="2"/>
  <c r="Y19" i="2"/>
  <c r="Y20" i="2"/>
  <c r="Y21" i="2"/>
  <c r="Y22" i="2"/>
  <c r="Y23" i="2"/>
  <c r="Y24" i="2"/>
  <c r="Z24" i="2" s="1"/>
  <c r="Y25" i="2"/>
  <c r="Z25" i="2" s="1"/>
  <c r="Y26" i="2"/>
  <c r="Z26" i="2" s="1"/>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Z66" i="2" s="1"/>
  <c r="Y67" i="2"/>
  <c r="Z67" i="2" s="1"/>
  <c r="Y68" i="2"/>
  <c r="Z68" i="2" s="1"/>
  <c r="Y69" i="2"/>
  <c r="Z69" i="2" s="1"/>
  <c r="Y70" i="2"/>
  <c r="Y71" i="2"/>
  <c r="Y72" i="2"/>
  <c r="Y73" i="2"/>
  <c r="Y74" i="2"/>
  <c r="Y75" i="2"/>
  <c r="Y76" i="2"/>
  <c r="Y77" i="2"/>
  <c r="Y78" i="2"/>
  <c r="Y79" i="2"/>
  <c r="Y80" i="2"/>
  <c r="Z80" i="2" s="1"/>
  <c r="Y81" i="2"/>
  <c r="Y82" i="2"/>
  <c r="Y83" i="2"/>
  <c r="Y84" i="2"/>
  <c r="Y85" i="2"/>
  <c r="Y86" i="2"/>
  <c r="Y87" i="2"/>
  <c r="Y88" i="2"/>
  <c r="Y89" i="2"/>
  <c r="Y90" i="2"/>
  <c r="Y91" i="2"/>
  <c r="Y92" i="2"/>
  <c r="Y93" i="2"/>
  <c r="Y94" i="2"/>
  <c r="Z94" i="2" s="1"/>
  <c r="Y95" i="2"/>
  <c r="Z95" i="2" s="1"/>
  <c r="Z7" i="2"/>
  <c r="Z27" i="2"/>
  <c r="Z35" i="2"/>
  <c r="Z38" i="2"/>
  <c r="Z39" i="2"/>
  <c r="Z63"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I6" i="21"/>
  <c r="M6" i="21"/>
  <c r="N6" i="21"/>
  <c r="E6" i="16"/>
  <c r="I6" i="16"/>
  <c r="M6" i="16"/>
  <c r="N6" i="16"/>
  <c r="V6" i="4"/>
  <c r="Z6" i="15"/>
  <c r="V6" i="13"/>
  <c r="Q6" i="11"/>
  <c r="A70" i="15" l="1"/>
  <c r="A14" i="15"/>
  <c r="A28" i="15"/>
  <c r="A42" i="15"/>
  <c r="A76" i="15"/>
  <c r="A56" i="15"/>
  <c r="A62" i="15"/>
  <c r="A10" i="15"/>
  <c r="A54" i="15"/>
  <c r="A9" i="15"/>
  <c r="A77" i="15"/>
  <c r="A35" i="15"/>
  <c r="A7" i="15"/>
  <c r="A68" i="15"/>
  <c r="A12" i="15"/>
  <c r="A8" i="15"/>
  <c r="A49" i="15"/>
  <c r="A21" i="15"/>
  <c r="A40" i="15"/>
  <c r="A73" i="15"/>
  <c r="A59" i="15"/>
  <c r="A45" i="15"/>
  <c r="A31" i="15"/>
  <c r="A65" i="15"/>
  <c r="A63" i="15"/>
  <c r="AB89" i="9"/>
  <c r="AB75" i="9"/>
  <c r="AB61" i="9"/>
  <c r="AB47" i="9"/>
  <c r="AB33" i="9"/>
  <c r="AB19" i="9"/>
  <c r="AB85" i="9"/>
  <c r="AB15" i="9"/>
  <c r="AB90" i="9"/>
  <c r="AB20" i="9"/>
  <c r="AB98" i="9"/>
  <c r="AB84" i="9"/>
  <c r="AB70" i="9"/>
  <c r="AB56" i="9"/>
  <c r="AB42" i="9"/>
  <c r="AB28" i="9"/>
  <c r="AB14" i="9"/>
  <c r="AB76" i="9"/>
  <c r="AB62" i="9"/>
  <c r="AB34" i="9"/>
  <c r="AB48" i="9"/>
  <c r="AB96" i="9"/>
  <c r="AB82" i="9"/>
  <c r="AB68" i="9"/>
  <c r="AB54" i="9"/>
  <c r="AB40" i="9"/>
  <c r="AB12" i="9"/>
  <c r="Z89" i="2"/>
  <c r="Z75" i="2"/>
  <c r="Z61" i="2"/>
  <c r="Z47" i="2"/>
  <c r="Z33" i="2"/>
  <c r="Z19" i="2"/>
  <c r="Z85" i="2"/>
  <c r="Z71" i="2"/>
  <c r="Z29" i="2"/>
  <c r="Z56" i="2"/>
  <c r="Z83" i="2"/>
  <c r="Z55" i="2"/>
  <c r="Z41" i="2"/>
  <c r="Z13" i="2"/>
  <c r="Z73" i="2"/>
  <c r="Z59" i="2"/>
  <c r="Z17" i="2"/>
  <c r="Z57" i="2"/>
  <c r="Z15" i="2"/>
  <c r="Z70" i="2"/>
  <c r="Z42" i="2"/>
  <c r="Z14" i="2"/>
  <c r="Z91" i="2"/>
  <c r="Z77" i="2"/>
  <c r="Z49" i="2"/>
  <c r="Z21" i="2"/>
  <c r="Z82" i="2"/>
  <c r="Z54" i="2"/>
  <c r="Z40" i="2"/>
  <c r="Z45" i="2"/>
  <c r="Z43" i="2"/>
  <c r="Z84" i="2"/>
  <c r="Z28" i="2"/>
  <c r="Z81" i="2"/>
  <c r="Z53" i="2"/>
  <c r="Z87" i="2"/>
  <c r="Z31" i="2"/>
  <c r="Z52" i="2"/>
  <c r="Z10" i="2"/>
  <c r="Z88" i="2"/>
  <c r="Z74" i="2"/>
  <c r="Z60" i="2"/>
  <c r="Z46" i="2"/>
  <c r="Z32" i="2"/>
  <c r="Z18" i="2"/>
  <c r="Z93" i="2"/>
  <c r="Z79" i="2"/>
  <c r="Z65" i="2"/>
  <c r="Z51" i="2"/>
  <c r="Z37" i="2"/>
  <c r="Z23" i="2"/>
  <c r="Z9" i="2"/>
  <c r="Z92" i="2"/>
  <c r="Z78" i="2"/>
  <c r="Z64" i="2"/>
  <c r="Z50" i="2"/>
  <c r="Z36" i="2"/>
  <c r="Z22" i="2"/>
  <c r="Z8" i="2"/>
  <c r="A11" i="2"/>
  <c r="A26" i="15"/>
  <c r="A88" i="2"/>
  <c r="A17" i="2"/>
  <c r="A36" i="2"/>
  <c r="A22" i="2"/>
  <c r="A25" i="15"/>
  <c r="A66" i="15"/>
  <c r="A52" i="15"/>
  <c r="A38" i="15"/>
  <c r="A24" i="15"/>
  <c r="A51" i="15"/>
  <c r="A37" i="15"/>
  <c r="A23" i="15"/>
  <c r="A31" i="2"/>
  <c r="A53" i="2"/>
  <c r="A78" i="2"/>
  <c r="A77" i="2"/>
  <c r="A62" i="2"/>
  <c r="A20" i="2"/>
  <c r="A78" i="15"/>
  <c r="A64" i="15"/>
  <c r="A50" i="15"/>
  <c r="A36" i="15"/>
  <c r="A22" i="15"/>
  <c r="A60" i="2"/>
  <c r="A17" i="15"/>
  <c r="A87" i="2"/>
  <c r="A86" i="2"/>
  <c r="A43" i="2"/>
  <c r="A7" i="11"/>
  <c r="A47" i="15"/>
  <c r="A61" i="15"/>
  <c r="A75" i="15"/>
  <c r="A33" i="15"/>
  <c r="A19" i="15"/>
  <c r="A72" i="15"/>
  <c r="A58" i="15"/>
  <c r="A44" i="15"/>
  <c r="A30" i="15"/>
  <c r="A16" i="15"/>
  <c r="A48" i="15"/>
  <c r="A85" i="2"/>
  <c r="A29" i="2"/>
  <c r="A69" i="15"/>
  <c r="A55" i="15"/>
  <c r="A41" i="15"/>
  <c r="A27" i="15"/>
  <c r="A39" i="15"/>
  <c r="A71" i="15"/>
  <c r="A57" i="15"/>
  <c r="A43" i="15"/>
  <c r="A29" i="15"/>
  <c r="A15" i="15"/>
  <c r="A34" i="15"/>
  <c r="A10" i="11"/>
  <c r="A92" i="9"/>
  <c r="A20" i="15"/>
  <c r="A60" i="15"/>
  <c r="A18" i="15"/>
  <c r="A74" i="15"/>
  <c r="A46" i="15"/>
  <c r="A32" i="15"/>
  <c r="A13" i="15"/>
  <c r="A67" i="15"/>
  <c r="A53" i="15"/>
  <c r="A11" i="15"/>
  <c r="H6" i="7"/>
  <c r="M6" i="7"/>
  <c r="N6" i="7"/>
  <c r="G6" i="15"/>
  <c r="Y6" i="15"/>
  <c r="O6" i="20"/>
  <c r="D6" i="7"/>
  <c r="Y6" i="2"/>
  <c r="AB6" i="2"/>
  <c r="AC6" i="2"/>
  <c r="A95" i="2" s="1"/>
  <c r="V6" i="20"/>
  <c r="U6" i="20"/>
  <c r="R6" i="20"/>
  <c r="X6" i="13"/>
  <c r="Y6" i="13"/>
  <c r="AA6" i="11"/>
  <c r="AB6" i="11"/>
  <c r="A8" i="11" s="1"/>
  <c r="AA6" i="9"/>
  <c r="AJ6" i="9"/>
  <c r="AK6" i="9"/>
  <c r="A98" i="9" s="1"/>
  <c r="Y6" i="4"/>
  <c r="Z6" i="4" s="1"/>
  <c r="AB6" i="4"/>
  <c r="AC6" i="4"/>
  <c r="A6" i="20" l="1"/>
  <c r="E6" i="21" s="1"/>
  <c r="A37" i="9"/>
  <c r="A28" i="9"/>
  <c r="A67" i="9"/>
  <c r="A91" i="9"/>
  <c r="A49" i="9"/>
  <c r="A15" i="9"/>
  <c r="A6" i="9"/>
  <c r="A95" i="9"/>
  <c r="A8" i="9"/>
  <c r="A11" i="9"/>
  <c r="A24" i="9"/>
  <c r="A7" i="9"/>
  <c r="A40" i="9"/>
  <c r="A11" i="11"/>
  <c r="A7" i="2"/>
  <c r="A50" i="2"/>
  <c r="A25" i="9"/>
  <c r="A93" i="9"/>
  <c r="B6" i="21"/>
  <c r="B6" i="16"/>
  <c r="A76" i="9"/>
  <c r="A90" i="9"/>
  <c r="A26" i="9"/>
  <c r="A10" i="9"/>
  <c r="A36" i="9"/>
  <c r="A52" i="9"/>
  <c r="A9" i="11"/>
  <c r="A54" i="9"/>
  <c r="A43" i="9"/>
  <c r="A21" i="2"/>
  <c r="A64" i="2"/>
  <c r="A22" i="9"/>
  <c r="A38" i="9"/>
  <c r="A50" i="9"/>
  <c r="A66" i="9"/>
  <c r="A80" i="9"/>
  <c r="A44" i="2"/>
  <c r="A68" i="9"/>
  <c r="A71" i="9"/>
  <c r="A35" i="2"/>
  <c r="A92" i="2"/>
  <c r="A16" i="9"/>
  <c r="A62" i="9"/>
  <c r="A12" i="9"/>
  <c r="A64" i="9"/>
  <c r="A21" i="9"/>
  <c r="A94" i="9"/>
  <c r="A73" i="2"/>
  <c r="A82" i="9"/>
  <c r="A17" i="9"/>
  <c r="A49" i="2"/>
  <c r="A29" i="9"/>
  <c r="A30" i="9"/>
  <c r="A78" i="9"/>
  <c r="A63" i="9"/>
  <c r="A35" i="9"/>
  <c r="A96" i="9"/>
  <c r="A73" i="9"/>
  <c r="A91" i="2"/>
  <c r="A14" i="9"/>
  <c r="A57" i="9"/>
  <c r="A44" i="9"/>
  <c r="A77" i="9"/>
  <c r="A53" i="9"/>
  <c r="A34" i="2"/>
  <c r="A85" i="9"/>
  <c r="A42" i="9"/>
  <c r="A72" i="9"/>
  <c r="A86" i="9"/>
  <c r="A99" i="9"/>
  <c r="A58" i="9"/>
  <c r="A9" i="9"/>
  <c r="A19" i="2"/>
  <c r="A75" i="2"/>
  <c r="A69" i="2"/>
  <c r="A61" i="2"/>
  <c r="A89" i="2"/>
  <c r="A13" i="2"/>
  <c r="A47" i="2"/>
  <c r="A27" i="2"/>
  <c r="A33" i="2"/>
  <c r="A55" i="2"/>
  <c r="A9" i="2"/>
  <c r="A23" i="2"/>
  <c r="A37" i="2"/>
  <c r="A51" i="2"/>
  <c r="A65" i="2"/>
  <c r="A79" i="2"/>
  <c r="A93" i="2"/>
  <c r="A10" i="2"/>
  <c r="A38" i="2"/>
  <c r="A52" i="2"/>
  <c r="A80" i="2"/>
  <c r="A94" i="2"/>
  <c r="A41" i="2"/>
  <c r="A24" i="2"/>
  <c r="A66" i="2"/>
  <c r="A12" i="2"/>
  <c r="A40" i="2"/>
  <c r="A54" i="2"/>
  <c r="A82" i="2"/>
  <c r="A83" i="2"/>
  <c r="A26" i="2"/>
  <c r="A68" i="2"/>
  <c r="A84" i="2"/>
  <c r="A28" i="2"/>
  <c r="A42" i="2"/>
  <c r="A56" i="2"/>
  <c r="A70" i="2"/>
  <c r="A14" i="2"/>
  <c r="A32" i="2"/>
  <c r="A23" i="9"/>
  <c r="A57" i="2"/>
  <c r="A15" i="2"/>
  <c r="A48" i="2"/>
  <c r="A72" i="2"/>
  <c r="A100" i="9"/>
  <c r="A56" i="9"/>
  <c r="A59" i="9"/>
  <c r="A31" i="9"/>
  <c r="A70" i="9"/>
  <c r="A51" i="9"/>
  <c r="A30" i="2"/>
  <c r="A20" i="9"/>
  <c r="A71" i="2"/>
  <c r="A76" i="2"/>
  <c r="A18" i="2"/>
  <c r="A25" i="2"/>
  <c r="A84" i="9"/>
  <c r="A39" i="2"/>
  <c r="A81" i="2"/>
  <c r="A45" i="9"/>
  <c r="A87" i="9"/>
  <c r="A65" i="9"/>
  <c r="A81" i="9"/>
  <c r="A34" i="9"/>
  <c r="A16" i="2"/>
  <c r="A90" i="2"/>
  <c r="A39" i="9"/>
  <c r="A45" i="2"/>
  <c r="A67" i="2"/>
  <c r="A59" i="2"/>
  <c r="A97" i="9"/>
  <c r="A83" i="9"/>
  <c r="A69" i="9"/>
  <c r="A60" i="9"/>
  <c r="A46" i="9"/>
  <c r="A27" i="9"/>
  <c r="A41" i="9"/>
  <c r="A55" i="9"/>
  <c r="A13" i="9"/>
  <c r="A88" i="9"/>
  <c r="A74" i="9"/>
  <c r="A32" i="9"/>
  <c r="A18" i="9"/>
  <c r="A33" i="9"/>
  <c r="A47" i="9"/>
  <c r="A61" i="9"/>
  <c r="A75" i="9"/>
  <c r="A89" i="9"/>
  <c r="A19" i="9"/>
  <c r="A79" i="9"/>
  <c r="A48" i="9"/>
  <c r="A63" i="2"/>
  <c r="A74" i="2"/>
  <c r="A8" i="2"/>
  <c r="A58" i="2"/>
  <c r="A46" i="2"/>
  <c r="I6" i="7"/>
  <c r="A6" i="4"/>
  <c r="A6" i="13"/>
  <c r="A6" i="11"/>
  <c r="A6" i="15"/>
  <c r="A6" i="2"/>
  <c r="C6" i="7" s="1"/>
  <c r="Z6" i="2"/>
  <c r="AB6" i="9"/>
  <c r="S6" i="20"/>
  <c r="G6" i="7" l="1"/>
</calcChain>
</file>

<file path=xl/sharedStrings.xml><?xml version="1.0" encoding="utf-8"?>
<sst xmlns="http://schemas.openxmlformats.org/spreadsheetml/2006/main" count="4179" uniqueCount="1458">
  <si>
    <t>Approval</t>
    <phoneticPr fontId="1"/>
  </si>
  <si>
    <t>Review</t>
    <phoneticPr fontId="1"/>
  </si>
  <si>
    <t>Author</t>
    <phoneticPr fontId="1"/>
  </si>
  <si>
    <t>Company</t>
    <phoneticPr fontId="1"/>
  </si>
  <si>
    <t>Info</t>
    <phoneticPr fontId="1"/>
  </si>
  <si>
    <t>Asset Name</t>
    <phoneticPr fontId="1"/>
  </si>
  <si>
    <t>Required Protect Class</t>
    <phoneticPr fontId="1"/>
  </si>
  <si>
    <t>Critical Information Classification</t>
    <phoneticPr fontId="1"/>
  </si>
  <si>
    <t>Customer Name</t>
  </si>
  <si>
    <t>Information Category</t>
    <phoneticPr fontId="1"/>
  </si>
  <si>
    <t>Manager of the asset</t>
    <phoneticPr fontId="1"/>
  </si>
  <si>
    <t>Responsible Department(Owning Department)</t>
    <phoneticPr fontId="1"/>
  </si>
  <si>
    <t>Primary Business Area of Asset Usage</t>
    <phoneticPr fontId="1"/>
  </si>
  <si>
    <t>Media form</t>
    <phoneticPr fontId="1"/>
  </si>
  <si>
    <t>Support asset stored to</t>
    <phoneticPr fontId="1"/>
  </si>
  <si>
    <t>Permitted Scope of Use</t>
    <phoneticPr fontId="1"/>
  </si>
  <si>
    <t xml:space="preserve">Other Customer req, Requlation
</t>
    <phoneticPr fontId="1"/>
  </si>
  <si>
    <t>Confidentiality</t>
    <phoneticPr fontId="1"/>
  </si>
  <si>
    <t>Integrity</t>
    <phoneticPr fontId="1"/>
  </si>
  <si>
    <t>Availability</t>
    <phoneticPr fontId="1"/>
  </si>
  <si>
    <t>Threat probality Class</t>
    <phoneticPr fontId="1"/>
  </si>
  <si>
    <t>Vulnerability Class</t>
    <phoneticPr fontId="1"/>
  </si>
  <si>
    <t>Damage occurance Probability</t>
    <phoneticPr fontId="1"/>
  </si>
  <si>
    <t>Risk</t>
    <phoneticPr fontId="1"/>
  </si>
  <si>
    <t>Remarks</t>
    <phoneticPr fontId="1"/>
  </si>
  <si>
    <t>Department</t>
    <phoneticPr fontId="1"/>
  </si>
  <si>
    <t>Proto</t>
    <phoneticPr fontId="1"/>
  </si>
  <si>
    <t>Required 
Protect Class</t>
    <phoneticPr fontId="1"/>
  </si>
  <si>
    <t xml:space="preserve">Customer Name
</t>
    <phoneticPr fontId="1"/>
  </si>
  <si>
    <t>Manager 
of the asset</t>
    <phoneticPr fontId="1"/>
  </si>
  <si>
    <t xml:space="preserve">Primary Business Area of Asset Usage
</t>
    <phoneticPr fontId="1"/>
  </si>
  <si>
    <t>Other Customer req, 
Requlation</t>
    <phoneticPr fontId="1"/>
  </si>
  <si>
    <t>Importance</t>
    <phoneticPr fontId="1"/>
  </si>
  <si>
    <t>Info_Proto</t>
    <phoneticPr fontId="1"/>
  </si>
  <si>
    <t>No(Info or Proto)</t>
    <phoneticPr fontId="1"/>
  </si>
  <si>
    <t>Information Asset Name</t>
    <phoneticPr fontId="1"/>
  </si>
  <si>
    <t>Area select</t>
    <phoneticPr fontId="1"/>
  </si>
  <si>
    <t>Managed area where controll the asset</t>
    <phoneticPr fontId="1"/>
  </si>
  <si>
    <t>Suppliment etc</t>
    <phoneticPr fontId="1"/>
  </si>
  <si>
    <t>Information
 Category</t>
    <phoneticPr fontId="1"/>
  </si>
  <si>
    <t xml:space="preserve"> IT Operations Organization</t>
    <phoneticPr fontId="1"/>
  </si>
  <si>
    <t>Purpose 
to use the asset</t>
    <phoneticPr fontId="1"/>
  </si>
  <si>
    <t>xternal public</t>
    <phoneticPr fontId="1"/>
  </si>
  <si>
    <t>Types of assets</t>
    <phoneticPr fontId="1"/>
  </si>
  <si>
    <t>Other Customer req, 
Requlation/
Laws req.</t>
    <phoneticPr fontId="1"/>
  </si>
  <si>
    <t xml:space="preserve">Software Version
</t>
    <phoneticPr fontId="1"/>
  </si>
  <si>
    <t>License Type</t>
    <phoneticPr fontId="1"/>
  </si>
  <si>
    <t>Number of Licenses</t>
    <phoneticPr fontId="1"/>
  </si>
  <si>
    <t>Acceptance/Operational Approval</t>
    <phoneticPr fontId="1"/>
  </si>
  <si>
    <t>System Operation Record</t>
    <phoneticPr fontId="1"/>
  </si>
  <si>
    <t>Latest Inspection Date</t>
    <phoneticPr fontId="1"/>
  </si>
  <si>
    <t>Inspection Result</t>
    <phoneticPr fontId="1"/>
  </si>
  <si>
    <t>Planned Inspection Date</t>
    <phoneticPr fontId="1"/>
  </si>
  <si>
    <t>Incident Record</t>
    <phoneticPr fontId="1"/>
  </si>
  <si>
    <t>Business Area</t>
    <phoneticPr fontId="1"/>
  </si>
  <si>
    <t>Media form</t>
  </si>
  <si>
    <t>TISAX(Very High)</t>
  </si>
  <si>
    <t>Customer Information</t>
    <phoneticPr fontId="1"/>
  </si>
  <si>
    <t>AISIN</t>
    <phoneticPr fontId="1"/>
  </si>
  <si>
    <t>Information obtained from external</t>
    <phoneticPr fontId="1"/>
  </si>
  <si>
    <t>Corporate Strategy</t>
    <phoneticPr fontId="1"/>
  </si>
  <si>
    <t>Electronic</t>
    <phoneticPr fontId="1"/>
  </si>
  <si>
    <t>TISAX(High)</t>
  </si>
  <si>
    <t>Personal Information(Internal)</t>
    <phoneticPr fontId="1"/>
  </si>
  <si>
    <t>BOSCH</t>
    <phoneticPr fontId="1"/>
  </si>
  <si>
    <t>Processed information obtained from external</t>
    <phoneticPr fontId="1"/>
  </si>
  <si>
    <t>Finance</t>
    <phoneticPr fontId="1"/>
  </si>
  <si>
    <t>Paper</t>
    <phoneticPr fontId="1"/>
  </si>
  <si>
    <t>TISAX(Normal)</t>
  </si>
  <si>
    <t>Personal Information (External)</t>
    <phoneticPr fontId="1"/>
  </si>
  <si>
    <t>CANON</t>
    <phoneticPr fontId="1"/>
  </si>
  <si>
    <t>Information created internally</t>
    <phoneticPr fontId="1"/>
  </si>
  <si>
    <t>ESG_Legal</t>
    <phoneticPr fontId="1"/>
  </si>
  <si>
    <t>Physical Object</t>
    <phoneticPr fontId="1"/>
  </si>
  <si>
    <t>Other standard requirements</t>
    <phoneticPr fontId="1"/>
  </si>
  <si>
    <t>Important Technical Information</t>
    <phoneticPr fontId="1"/>
  </si>
  <si>
    <t>DAIHATSU</t>
    <phoneticPr fontId="1"/>
  </si>
  <si>
    <t>HR_General Affairs</t>
    <phoneticPr fontId="1"/>
  </si>
  <si>
    <t>N/A</t>
  </si>
  <si>
    <t>DELL</t>
    <phoneticPr fontId="1"/>
  </si>
  <si>
    <t>Sales</t>
    <phoneticPr fontId="1"/>
  </si>
  <si>
    <t>DENSO</t>
    <phoneticPr fontId="1"/>
  </si>
  <si>
    <t>Engineering</t>
    <phoneticPr fontId="1"/>
  </si>
  <si>
    <t>FORD</t>
    <phoneticPr fontId="1"/>
  </si>
  <si>
    <t>Production</t>
    <phoneticPr fontId="1"/>
  </si>
  <si>
    <t>GB</t>
    <phoneticPr fontId="1"/>
  </si>
  <si>
    <t>Procurement</t>
    <phoneticPr fontId="1"/>
  </si>
  <si>
    <t>GD</t>
    <phoneticPr fontId="1"/>
  </si>
  <si>
    <t>Quality</t>
    <phoneticPr fontId="1"/>
  </si>
  <si>
    <t>GV/GA</t>
    <phoneticPr fontId="1"/>
  </si>
  <si>
    <t>Other</t>
    <phoneticPr fontId="1"/>
  </si>
  <si>
    <t>HITACHI ASTEMO</t>
    <phoneticPr fontId="1"/>
  </si>
  <si>
    <t>HONDA</t>
    <phoneticPr fontId="1"/>
  </si>
  <si>
    <t>HYUNDAI KIA</t>
    <phoneticPr fontId="1"/>
  </si>
  <si>
    <t>INTEVA</t>
    <phoneticPr fontId="1"/>
  </si>
  <si>
    <t>JLR</t>
    <phoneticPr fontId="1"/>
  </si>
  <si>
    <t>KA</t>
    <phoneticPr fontId="1"/>
  </si>
  <si>
    <t>MAGNA</t>
    <phoneticPr fontId="1"/>
  </si>
  <si>
    <t>MAZDA</t>
    <phoneticPr fontId="1"/>
  </si>
  <si>
    <t>MICROSOFT</t>
    <phoneticPr fontId="1"/>
  </si>
  <si>
    <t>MITSUBISHI</t>
    <phoneticPr fontId="1"/>
  </si>
  <si>
    <t>NINTENDO</t>
    <phoneticPr fontId="1"/>
  </si>
  <si>
    <t>RENAULT/NISSAN</t>
    <phoneticPr fontId="1"/>
  </si>
  <si>
    <t>SAMSUNG</t>
  </si>
  <si>
    <t>SONY</t>
    <phoneticPr fontId="1"/>
  </si>
  <si>
    <t>Stellantis</t>
    <phoneticPr fontId="1"/>
  </si>
  <si>
    <t>SUBARU</t>
    <phoneticPr fontId="1"/>
  </si>
  <si>
    <t>SUMITOMO</t>
    <phoneticPr fontId="1"/>
  </si>
  <si>
    <t>TK</t>
    <phoneticPr fontId="1"/>
  </si>
  <si>
    <t>TOYOTA</t>
    <phoneticPr fontId="1"/>
  </si>
  <si>
    <t>UG</t>
    <phoneticPr fontId="1"/>
  </si>
  <si>
    <t>VCC</t>
    <phoneticPr fontId="1"/>
  </si>
  <si>
    <t>VOLVO TRUCK</t>
    <phoneticPr fontId="1"/>
  </si>
  <si>
    <t>No</t>
    <phoneticPr fontId="1"/>
  </si>
  <si>
    <t>Purpose 
to use the asset(Original)</t>
    <phoneticPr fontId="1"/>
  </si>
  <si>
    <t>Media form(Original)</t>
    <phoneticPr fontId="1"/>
  </si>
  <si>
    <t>Auto_No</t>
    <phoneticPr fontId="1"/>
  </si>
  <si>
    <t>No</t>
    <phoneticPr fontId="1"/>
  </si>
  <si>
    <t>External Public</t>
    <phoneticPr fontId="1"/>
  </si>
  <si>
    <t>Publicly Available</t>
    <phoneticPr fontId="1"/>
  </si>
  <si>
    <t>Not Publicly Available</t>
    <phoneticPr fontId="1"/>
  </si>
  <si>
    <t>Types of Assets</t>
    <phoneticPr fontId="1"/>
  </si>
  <si>
    <t>SaaS</t>
  </si>
  <si>
    <t>PaaS</t>
  </si>
  <si>
    <t>Application System</t>
    <phoneticPr fontId="1"/>
  </si>
  <si>
    <t>Software</t>
    <phoneticPr fontId="1"/>
  </si>
  <si>
    <t>Server_Storage server</t>
    <phoneticPr fontId="1"/>
  </si>
  <si>
    <t>Physical Object</t>
    <phoneticPr fontId="1"/>
  </si>
  <si>
    <t>ID</t>
    <phoneticPr fontId="1"/>
  </si>
  <si>
    <t>Business Partner Name</t>
    <phoneticPr fontId="1"/>
  </si>
  <si>
    <t>Contact Department in Business Partner</t>
    <phoneticPr fontId="1"/>
  </si>
  <si>
    <t>Overview of the Transaction / Outsourcing</t>
    <phoneticPr fontId="1"/>
  </si>
  <si>
    <t>Required availability</t>
    <phoneticPr fontId="1"/>
  </si>
  <si>
    <t xml:space="preserve">Presence on Premise and Entry Permitted Area
</t>
    <phoneticPr fontId="1"/>
  </si>
  <si>
    <t>ISMS最新周知日</t>
    <phoneticPr fontId="1"/>
  </si>
  <si>
    <t xml:space="preserve">Latest Audit Date (Assessment Date)
</t>
    <phoneticPr fontId="1"/>
  </si>
  <si>
    <t xml:space="preserve">Latest Audit or Assessment Results
</t>
    <phoneticPr fontId="1"/>
  </si>
  <si>
    <t>Next Audit and Assessment Date</t>
    <phoneticPr fontId="1"/>
  </si>
  <si>
    <t xml:space="preserve">Data Return
/Deletion on Termination </t>
    <phoneticPr fontId="1"/>
  </si>
  <si>
    <t>Incidnet Record</t>
    <phoneticPr fontId="1"/>
  </si>
  <si>
    <t>Related customer name</t>
    <phoneticPr fontId="1"/>
  </si>
  <si>
    <t xml:space="preserve">Latest educated date </t>
    <phoneticPr fontId="1"/>
  </si>
  <si>
    <t>Customer Approval Date</t>
    <phoneticPr fontId="1"/>
  </si>
  <si>
    <t>Fascility Requirement</t>
    <phoneticPr fontId="1"/>
  </si>
  <si>
    <t>Fascility Requirement specification</t>
    <phoneticPr fontId="1"/>
  </si>
  <si>
    <t>BP</t>
    <phoneticPr fontId="1"/>
  </si>
  <si>
    <t>Store_Area</t>
    <phoneticPr fontId="1"/>
  </si>
  <si>
    <t>SupplimentName</t>
    <phoneticPr fontId="1"/>
  </si>
  <si>
    <t>BP_Name</t>
    <phoneticPr fontId="1"/>
  </si>
  <si>
    <t>Project</t>
    <phoneticPr fontId="1"/>
  </si>
  <si>
    <t>Project Control Number</t>
    <phoneticPr fontId="1"/>
  </si>
  <si>
    <t>Project Name</t>
    <phoneticPr fontId="1"/>
  </si>
  <si>
    <t>Required 
Protect Class
(Regulation/
Customer Req.)</t>
    <phoneticPr fontId="1"/>
  </si>
  <si>
    <t>Working Space</t>
    <phoneticPr fontId="1"/>
  </si>
  <si>
    <t>Viewing 
Authority</t>
    <phoneticPr fontId="1"/>
  </si>
  <si>
    <t xml:space="preserve">Subprocessor
</t>
    <phoneticPr fontId="1"/>
  </si>
  <si>
    <t>Project Lead Department</t>
    <phoneticPr fontId="1"/>
  </si>
  <si>
    <t>Project Member</t>
    <phoneticPr fontId="1"/>
  </si>
  <si>
    <t xml:space="preserve">xNDA-008 (Information Security Agreement) Signed (Yes/No)
</t>
    <phoneticPr fontId="1"/>
  </si>
  <si>
    <t>Customer Name</t>
    <phoneticPr fontId="1"/>
  </si>
  <si>
    <t>Project_Name</t>
    <phoneticPr fontId="1"/>
  </si>
  <si>
    <r>
      <t>Execution Date of xNDA-007 (Information Security Agreement)</t>
    </r>
    <r>
      <rPr>
        <sz val="8"/>
        <rFont val="Microsoft YaHei"/>
        <family val="3"/>
        <charset val="134"/>
      </rPr>
      <t xml:space="preserve">
</t>
    </r>
    <phoneticPr fontId="1"/>
  </si>
  <si>
    <r>
      <t>Project</t>
    </r>
    <r>
      <rPr>
        <sz val="10"/>
        <rFont val="游ゴシック"/>
        <family val="3"/>
        <charset val="128"/>
      </rPr>
      <t xml:space="preserve"> </t>
    </r>
    <r>
      <rPr>
        <sz val="10"/>
        <rFont val="Microsoft YaHei"/>
        <family val="3"/>
        <charset val="134"/>
      </rPr>
      <t>Manager 
of the asset</t>
    </r>
    <phoneticPr fontId="1"/>
  </si>
  <si>
    <t>Company Name/Business Partner Name</t>
    <phoneticPr fontId="1"/>
  </si>
  <si>
    <t>Name of the person engaged</t>
    <phoneticPr fontId="1"/>
  </si>
  <si>
    <t>Email address of the person engaged</t>
    <phoneticPr fontId="1"/>
  </si>
  <si>
    <t>Relationship with our company</t>
    <phoneticPr fontId="1"/>
  </si>
  <si>
    <t xml:space="preserve">Start date of work for our company </t>
    <phoneticPr fontId="1"/>
  </si>
  <si>
    <t>Contract expire date</t>
    <phoneticPr fontId="1"/>
  </si>
  <si>
    <t>Last ISMS Training Date</t>
    <phoneticPr fontId="1"/>
  </si>
  <si>
    <t>Educated result / Class</t>
    <phoneticPr fontId="1"/>
  </si>
  <si>
    <t>Planned Education Date</t>
    <phoneticPr fontId="1"/>
  </si>
  <si>
    <t>Date of the Security Contract</t>
    <phoneticPr fontId="1"/>
  </si>
  <si>
    <t>Security Manager</t>
    <phoneticPr fontId="1"/>
  </si>
  <si>
    <t>PC Asset ID in Use</t>
    <phoneticPr fontId="1"/>
  </si>
  <si>
    <t>Company-issued smartphone number</t>
    <phoneticPr fontId="1"/>
  </si>
  <si>
    <t>Other issued equipment</t>
    <phoneticPr fontId="1"/>
  </si>
  <si>
    <t>Medium like USBMemory</t>
    <phoneticPr fontId="1"/>
  </si>
  <si>
    <t>Prototype name</t>
    <phoneticPr fontId="1"/>
  </si>
  <si>
    <t>System name</t>
    <phoneticPr fontId="1"/>
  </si>
  <si>
    <t>Infomation Name</t>
    <phoneticPr fontId="1"/>
  </si>
  <si>
    <t>Worker</t>
    <phoneticPr fontId="1"/>
  </si>
  <si>
    <t>Worker_Type</t>
    <phoneticPr fontId="1"/>
  </si>
  <si>
    <t>full-time employee</t>
    <phoneticPr fontId="1"/>
  </si>
  <si>
    <t>Temporary Staffing Agreement</t>
    <phoneticPr fontId="1"/>
  </si>
  <si>
    <t>On-premises Outsourcing Contract</t>
    <phoneticPr fontId="1"/>
  </si>
  <si>
    <t>Employee of a business partner</t>
    <phoneticPr fontId="1"/>
  </si>
  <si>
    <t>Account ID</t>
    <phoneticPr fontId="1"/>
  </si>
  <si>
    <t>Authority</t>
    <phoneticPr fontId="1"/>
  </si>
  <si>
    <t>Date of Training</t>
    <phoneticPr fontId="1"/>
  </si>
  <si>
    <t>Account Privilege Description</t>
    <phoneticPr fontId="1"/>
  </si>
  <si>
    <t>No(Supp/Ex-IT/SW/BizP/Project)</t>
    <phoneticPr fontId="1"/>
  </si>
  <si>
    <t>Training Requierment</t>
    <phoneticPr fontId="1"/>
  </si>
  <si>
    <t>Training Requirement</t>
    <phoneticPr fontId="1"/>
  </si>
  <si>
    <t>Start Date</t>
    <phoneticPr fontId="1"/>
  </si>
  <si>
    <t>Account ID</t>
    <phoneticPr fontId="1"/>
  </si>
  <si>
    <t>Usage satart date</t>
    <phoneticPr fontId="1"/>
  </si>
  <si>
    <t>Stop Date</t>
    <phoneticPr fontId="1"/>
  </si>
  <si>
    <t>Very High</t>
    <phoneticPr fontId="1"/>
  </si>
  <si>
    <t>High</t>
    <phoneticPr fontId="1"/>
  </si>
  <si>
    <t>Normal</t>
    <phoneticPr fontId="1"/>
  </si>
  <si>
    <t>Explain</t>
    <phoneticPr fontId="1"/>
  </si>
  <si>
    <t>S</t>
    <phoneticPr fontId="1"/>
  </si>
  <si>
    <t>A</t>
    <phoneticPr fontId="1"/>
  </si>
  <si>
    <t>B</t>
    <phoneticPr fontId="1"/>
  </si>
  <si>
    <t>C</t>
    <phoneticPr fontId="1"/>
  </si>
  <si>
    <t>Public Information</t>
    <phoneticPr fontId="1"/>
  </si>
  <si>
    <t>ExtIT_Work_Division</t>
    <phoneticPr fontId="1"/>
  </si>
  <si>
    <t>ExtIT_Using_Status</t>
    <phoneticPr fontId="1"/>
  </si>
  <si>
    <t>Name of mobile asset</t>
    <phoneticPr fontId="1"/>
  </si>
  <si>
    <t>Asset Number</t>
    <phoneticPr fontId="1"/>
  </si>
  <si>
    <t>Subscription</t>
  </si>
  <si>
    <t>One-time Purchase</t>
    <phoneticPr fontId="1"/>
  </si>
  <si>
    <t>OSS(Open Source Software)</t>
  </si>
  <si>
    <t>Others</t>
    <phoneticPr fontId="1"/>
  </si>
  <si>
    <t>License_Type</t>
    <phoneticPr fontId="1"/>
  </si>
  <si>
    <t>Contract status</t>
    <phoneticPr fontId="1"/>
  </si>
  <si>
    <t>Information Category</t>
    <phoneticPr fontId="1"/>
  </si>
  <si>
    <t>Information Category(Original)</t>
    <phoneticPr fontId="1"/>
  </si>
  <si>
    <t>Information Category N</t>
    <phoneticPr fontId="1"/>
  </si>
  <si>
    <t>Worker-access</t>
    <phoneticPr fontId="1"/>
  </si>
  <si>
    <t>Asset-Loc</t>
    <phoneticPr fontId="1"/>
  </si>
  <si>
    <t>Customer Information</t>
  </si>
  <si>
    <t>Information obtained from external</t>
  </si>
  <si>
    <t>Software-User</t>
    <phoneticPr fontId="1"/>
  </si>
  <si>
    <t>Viewing Authority</t>
    <phoneticPr fontId="1"/>
  </si>
  <si>
    <t>Security Officer in Business Partner</t>
    <phoneticPr fontId="1"/>
  </si>
  <si>
    <t>Auto_No</t>
  </si>
  <si>
    <t xml:space="preserve">the department in charge within our company
</t>
    <phoneticPr fontId="1"/>
  </si>
  <si>
    <t>Our Cloud service for Customers</t>
  </si>
  <si>
    <t>日本語</t>
    <rPh sb="0" eb="3">
      <t>ニホンゴ</t>
    </rPh>
    <phoneticPr fontId="1"/>
  </si>
  <si>
    <t>English</t>
    <phoneticPr fontId="1"/>
  </si>
  <si>
    <t>中文</t>
    <rPh sb="0" eb="2">
      <t>チュウブン</t>
    </rPh>
    <phoneticPr fontId="1"/>
  </si>
  <si>
    <t>資産名
Asset Name
资产名称</t>
  </si>
  <si>
    <t>FreeText</t>
    <phoneticPr fontId="1"/>
  </si>
  <si>
    <t>情報資産名、プロトタイプ名(試作品名)、保管領域名(フォルダー名)、システム名、サーバ名、ソフトウェア名　等</t>
    <rPh sb="0" eb="2">
      <t>ジョウホウ</t>
    </rPh>
    <rPh sb="2" eb="4">
      <t>シサン</t>
    </rPh>
    <rPh sb="4" eb="5">
      <t>メイ</t>
    </rPh>
    <rPh sb="12" eb="13">
      <t>メイ</t>
    </rPh>
    <rPh sb="14" eb="18">
      <t>シサクヒンメイ</t>
    </rPh>
    <rPh sb="20" eb="22">
      <t>ホカン</t>
    </rPh>
    <rPh sb="22" eb="25">
      <t>リョウイキメイ</t>
    </rPh>
    <rPh sb="31" eb="32">
      <t>メイ</t>
    </rPh>
    <rPh sb="38" eb="39">
      <t>メイ</t>
    </rPh>
    <rPh sb="43" eb="44">
      <t>メイ</t>
    </rPh>
    <rPh sb="51" eb="52">
      <t>メイ</t>
    </rPh>
    <rPh sb="53" eb="54">
      <t>トウ</t>
    </rPh>
    <phoneticPr fontId="1"/>
  </si>
  <si>
    <t>System name, server name, software name, etc.</t>
  </si>
  <si>
    <r>
      <t>系</t>
    </r>
    <r>
      <rPr>
        <b/>
        <sz val="12"/>
        <color theme="1"/>
        <rFont val="NSimSun"/>
        <family val="3"/>
        <charset val="134"/>
      </rPr>
      <t>统</t>
    </r>
    <r>
      <rPr>
        <b/>
        <sz val="12"/>
        <color theme="1"/>
        <rFont val="Meiryo UI"/>
        <family val="3"/>
        <charset val="128"/>
      </rPr>
      <t>名称、服</t>
    </r>
    <r>
      <rPr>
        <b/>
        <sz val="12"/>
        <color theme="1"/>
        <rFont val="NSimSun"/>
        <family val="3"/>
        <charset val="134"/>
      </rPr>
      <t>务</t>
    </r>
    <r>
      <rPr>
        <b/>
        <sz val="12"/>
        <color theme="1"/>
        <rFont val="Meiryo UI"/>
        <family val="3"/>
        <charset val="128"/>
      </rPr>
      <t>器名称、</t>
    </r>
    <r>
      <rPr>
        <b/>
        <sz val="12"/>
        <color theme="1"/>
        <rFont val="NSimSun"/>
        <family val="3"/>
        <charset val="134"/>
      </rPr>
      <t>软</t>
    </r>
    <r>
      <rPr>
        <b/>
        <sz val="12"/>
        <color theme="1"/>
        <rFont val="Meiryo UI"/>
        <family val="3"/>
        <charset val="128"/>
      </rPr>
      <t>件名称等。</t>
    </r>
  </si>
  <si>
    <r>
      <t>保護の必要性(規格/顧客要求)
Required Protect Class(Regulation/Customer Req.)
需要保</t>
    </r>
    <r>
      <rPr>
        <b/>
        <sz val="11"/>
        <color theme="1"/>
        <rFont val="Microsoft YaHei"/>
        <family val="2"/>
        <charset val="134"/>
      </rPr>
      <t>护</t>
    </r>
    <r>
      <rPr>
        <b/>
        <sz val="11"/>
        <color theme="1"/>
        <rFont val="Meiryo UI"/>
        <family val="3"/>
        <charset val="128"/>
      </rPr>
      <t>类</t>
    </r>
    <r>
      <rPr>
        <b/>
        <sz val="11"/>
        <color theme="1"/>
        <rFont val="Microsoft YaHei"/>
        <family val="3"/>
        <charset val="134"/>
      </rPr>
      <t>(法规/客户要求)</t>
    </r>
    <phoneticPr fontId="1"/>
  </si>
  <si>
    <t>Selection</t>
    <phoneticPr fontId="1"/>
  </si>
  <si>
    <t>顧客指定が無い場合は下記基準で選択。TISAX要件はTISAXをつける</t>
    <rPh sb="0" eb="2">
      <t>コキャク</t>
    </rPh>
    <rPh sb="2" eb="4">
      <t>シテイ</t>
    </rPh>
    <rPh sb="23" eb="25">
      <t>ヨウケン</t>
    </rPh>
    <phoneticPr fontId="1"/>
  </si>
  <si>
    <t>To be specified by the customer. (If not specified, select based on the following criteria.</t>
  </si>
  <si>
    <r>
      <t>由客</t>
    </r>
    <r>
      <rPr>
        <b/>
        <sz val="12"/>
        <color theme="1"/>
        <rFont val="NSimSun"/>
        <family val="3"/>
        <charset val="134"/>
      </rPr>
      <t>户</t>
    </r>
    <r>
      <rPr>
        <b/>
        <sz val="12"/>
        <color theme="1"/>
        <rFont val="Meiryo UI"/>
        <family val="3"/>
        <charset val="128"/>
      </rPr>
      <t>指定。如果没有指定，</t>
    </r>
    <r>
      <rPr>
        <b/>
        <sz val="12"/>
        <color theme="1"/>
        <rFont val="NSimSun"/>
        <family val="3"/>
        <charset val="134"/>
      </rPr>
      <t>请</t>
    </r>
    <r>
      <rPr>
        <b/>
        <sz val="12"/>
        <color theme="1"/>
        <rFont val="Meiryo UI"/>
        <family val="3"/>
        <charset val="128"/>
      </rPr>
      <t>根据以下</t>
    </r>
    <r>
      <rPr>
        <b/>
        <sz val="12"/>
        <color theme="1"/>
        <rFont val="NSimSun"/>
        <family val="3"/>
        <charset val="134"/>
      </rPr>
      <t>标</t>
    </r>
    <r>
      <rPr>
        <b/>
        <sz val="12"/>
        <color theme="1"/>
        <rFont val="Meiryo UI"/>
        <family val="3"/>
        <charset val="128"/>
      </rPr>
      <t>准</t>
    </r>
    <r>
      <rPr>
        <b/>
        <sz val="12"/>
        <color theme="1"/>
        <rFont val="NSimSun"/>
        <family val="3"/>
        <charset val="134"/>
      </rPr>
      <t>选择</t>
    </r>
    <r>
      <rPr>
        <b/>
        <sz val="12"/>
        <color theme="1"/>
        <rFont val="Meiryo UI"/>
        <family val="3"/>
        <charset val="128"/>
      </rPr>
      <t>。</t>
    </r>
  </si>
  <si>
    <t>Normal
TISAX(Normal)</t>
    <phoneticPr fontId="1"/>
  </si>
  <si>
    <t>損害の可能性は低く、短期的な性質のもの。
かつ影響は1つの会社に限定される。</t>
    <rPh sb="0" eb="2">
      <t>ソンガイ</t>
    </rPh>
    <phoneticPr fontId="1"/>
  </si>
  <si>
    <t>Damage is unlikely and of a short-term nature.The impact is limited to one company.</t>
    <phoneticPr fontId="1"/>
  </si>
  <si>
    <r>
      <rPr>
        <sz val="10"/>
        <color theme="1"/>
        <rFont val="NSimSun"/>
        <family val="3"/>
        <charset val="134"/>
      </rPr>
      <t>损</t>
    </r>
    <r>
      <rPr>
        <sz val="10"/>
        <color theme="1"/>
        <rFont val="Meiryo UI"/>
        <family val="3"/>
        <charset val="128"/>
      </rPr>
      <t>害的可能性不大，属于短期性</t>
    </r>
    <r>
      <rPr>
        <sz val="10"/>
        <color theme="1"/>
        <rFont val="NSimSun"/>
        <family val="3"/>
        <charset val="134"/>
      </rPr>
      <t>质</t>
    </r>
    <r>
      <rPr>
        <sz val="10"/>
        <color theme="1"/>
        <rFont val="Meiryo UI"/>
        <family val="3"/>
        <charset val="128"/>
      </rPr>
      <t>，影响</t>
    </r>
    <r>
      <rPr>
        <sz val="10"/>
        <color theme="1"/>
        <rFont val="NSimSun"/>
        <family val="3"/>
        <charset val="134"/>
      </rPr>
      <t>仅</t>
    </r>
    <r>
      <rPr>
        <sz val="10"/>
        <color theme="1"/>
        <rFont val="Meiryo UI"/>
        <family val="3"/>
        <charset val="128"/>
      </rPr>
      <t>限于一家公司。</t>
    </r>
    <phoneticPr fontId="1"/>
  </si>
  <si>
    <t xml:space="preserve">High
TISAX(High) </t>
    <phoneticPr fontId="1"/>
  </si>
  <si>
    <t>損害の可能性があり、中期的な性質のもの。
または　影響が1つの会社に限定されない。</t>
    <rPh sb="0" eb="2">
      <t>ソンガイ</t>
    </rPh>
    <phoneticPr fontId="1"/>
  </si>
  <si>
    <t>Potential for damage, medium-term in nature.or impact is not limited to one company.</t>
    <phoneticPr fontId="1"/>
  </si>
  <si>
    <r>
      <t>损害的可能性很大，属于中期性</t>
    </r>
    <r>
      <rPr>
        <sz val="10"/>
        <color theme="1"/>
        <rFont val="NSimSun"/>
        <family val="3"/>
        <charset val="134"/>
      </rPr>
      <t>质</t>
    </r>
    <r>
      <rPr>
        <sz val="10"/>
        <color theme="1"/>
        <rFont val="Meiryo UI"/>
        <family val="3"/>
        <charset val="128"/>
      </rPr>
      <t>.或影响不限于一家公司。</t>
    </r>
    <phoneticPr fontId="1"/>
  </si>
  <si>
    <t>Very High
TISAX(Very High)</t>
    <phoneticPr fontId="1"/>
  </si>
  <si>
    <t>損害の可能性は会社の存続を脅かす。
（NormalとVeryHigh以外はHigh設定）</t>
    <rPh sb="0" eb="2">
      <t>ソンガイ</t>
    </rPh>
    <phoneticPr fontId="1"/>
  </si>
  <si>
    <r>
      <t>Potential for damage threatens the survival of the firm.</t>
    </r>
    <r>
      <rPr>
        <sz val="10"/>
        <color theme="1"/>
        <rFont val="Meiryo UI"/>
        <family val="3"/>
        <charset val="128"/>
      </rPr>
      <t>　</t>
    </r>
    <r>
      <rPr>
        <sz val="10"/>
        <color theme="1"/>
        <rFont val="Arial"/>
        <family val="2"/>
      </rPr>
      <t>(All settings except Normal and VeryHigh are set to High.)"</t>
    </r>
    <phoneticPr fontId="1"/>
  </si>
  <si>
    <r>
      <rPr>
        <sz val="10"/>
        <color theme="1"/>
        <rFont val="Microsoft YaHei"/>
        <family val="3"/>
        <charset val="134"/>
      </rPr>
      <t xml:space="preserve">潜在的损害威胁着公司的生存。
</t>
    </r>
    <r>
      <rPr>
        <sz val="10"/>
        <color theme="1"/>
        <rFont val="Meiryo UI"/>
        <family val="3"/>
        <charset val="128"/>
      </rPr>
      <t>(除Normal和VeryHigh以外的所有</t>
    </r>
    <r>
      <rPr>
        <sz val="10"/>
        <color theme="1"/>
        <rFont val="NSimSun"/>
        <family val="3"/>
        <charset val="134"/>
      </rPr>
      <t>设</t>
    </r>
    <r>
      <rPr>
        <sz val="10"/>
        <color theme="1"/>
        <rFont val="Meiryo UI"/>
        <family val="3"/>
        <charset val="128"/>
      </rPr>
      <t>置都</t>
    </r>
    <r>
      <rPr>
        <sz val="10"/>
        <color theme="1"/>
        <rFont val="NSimSun"/>
        <family val="3"/>
        <charset val="134"/>
      </rPr>
      <t>设</t>
    </r>
    <r>
      <rPr>
        <sz val="10"/>
        <color theme="1"/>
        <rFont val="Meiryo UI"/>
        <family val="3"/>
        <charset val="128"/>
      </rPr>
      <t>置</t>
    </r>
    <r>
      <rPr>
        <sz val="10"/>
        <color theme="1"/>
        <rFont val="NSimSun"/>
        <family val="3"/>
        <charset val="134"/>
      </rPr>
      <t>为</t>
    </r>
    <r>
      <rPr>
        <sz val="10"/>
        <color theme="1"/>
        <rFont val="Meiryo UI"/>
        <family val="3"/>
        <charset val="128"/>
      </rPr>
      <t>High。)"</t>
    </r>
    <phoneticPr fontId="1"/>
  </si>
  <si>
    <t>ALAP最重要情報分類
ALAP Critical Information Classification
ALAP 重要信息分类</t>
    <rPh sb="4" eb="7">
      <t>サイジュウヨウ</t>
    </rPh>
    <rPh sb="7" eb="9">
      <t>ジョウホウ</t>
    </rPh>
    <rPh sb="9" eb="11">
      <t>ブンルイ</t>
    </rPh>
    <phoneticPr fontId="1"/>
  </si>
  <si>
    <t>最重要資産分類</t>
    <rPh sb="0" eb="3">
      <t>サイジュウヨウ</t>
    </rPh>
    <rPh sb="3" eb="5">
      <t>シサン</t>
    </rPh>
    <rPh sb="5" eb="7">
      <t>ブンルイ</t>
    </rPh>
    <phoneticPr fontId="1"/>
  </si>
  <si>
    <t>顧客重要情報</t>
    <rPh sb="0" eb="2">
      <t>コキャク</t>
    </rPh>
    <rPh sb="2" eb="6">
      <t>ジュウヨウジョウホウ</t>
    </rPh>
    <phoneticPr fontId="1"/>
  </si>
  <si>
    <t>Personal Information(Internal)</t>
  </si>
  <si>
    <t>社内個人情報</t>
    <rPh sb="0" eb="2">
      <t>シャナイ</t>
    </rPh>
    <rPh sb="2" eb="6">
      <t>コジンジョウホウ</t>
    </rPh>
    <phoneticPr fontId="1"/>
  </si>
  <si>
    <t>Personal Information (External)</t>
  </si>
  <si>
    <t>外部個人情報</t>
    <rPh sb="0" eb="2">
      <t>ガイブ</t>
    </rPh>
    <rPh sb="2" eb="6">
      <t>コジンジョウホウ</t>
    </rPh>
    <phoneticPr fontId="1"/>
  </si>
  <si>
    <t>Important Technical Information</t>
  </si>
  <si>
    <t>最重要技術情報</t>
    <rPh sb="0" eb="3">
      <t>サイジュウヨウ</t>
    </rPh>
    <rPh sb="3" eb="7">
      <t>ギジュツジョウホウ</t>
    </rPh>
    <phoneticPr fontId="1"/>
  </si>
  <si>
    <t>上記以外</t>
    <rPh sb="0" eb="4">
      <t>ジョウキイガイ</t>
    </rPh>
    <phoneticPr fontId="1"/>
  </si>
  <si>
    <r>
      <t xml:space="preserve">顧客名称
Customer Name
</t>
    </r>
    <r>
      <rPr>
        <sz val="10"/>
        <color theme="1"/>
        <rFont val="Microsoft YaHei"/>
        <family val="3"/>
        <charset val="134"/>
      </rPr>
      <t>客户名称</t>
    </r>
    <rPh sb="0" eb="4">
      <t>コキャクメイショウ</t>
    </rPh>
    <phoneticPr fontId="1"/>
  </si>
  <si>
    <t>顧客名称(選択式；選択肢がない場合はブランク)</t>
    <rPh sb="0" eb="2">
      <t>コキャク</t>
    </rPh>
    <rPh sb="2" eb="4">
      <t>メイショウ</t>
    </rPh>
    <rPh sb="5" eb="8">
      <t>センタクシキ</t>
    </rPh>
    <rPh sb="9" eb="12">
      <t>センタクシ</t>
    </rPh>
    <rPh sb="15" eb="17">
      <t>バアイ</t>
    </rPh>
    <phoneticPr fontId="1"/>
  </si>
  <si>
    <t>資産の種類(情報種類)
Information Category
信息类别</t>
    <rPh sb="0" eb="2">
      <t>シサン</t>
    </rPh>
    <rPh sb="3" eb="5">
      <t>シュルイ</t>
    </rPh>
    <phoneticPr fontId="1"/>
  </si>
  <si>
    <t>資産(文書や図面、試作品およびソフトウェアなど)の情報源</t>
    <rPh sb="0" eb="2">
      <t>シサン</t>
    </rPh>
    <rPh sb="3" eb="5">
      <t>ブンショ</t>
    </rPh>
    <rPh sb="6" eb="8">
      <t>ズメン</t>
    </rPh>
    <rPh sb="9" eb="12">
      <t>シサクヒン</t>
    </rPh>
    <rPh sb="25" eb="27">
      <t>ジョウホウ</t>
    </rPh>
    <rPh sb="27" eb="28">
      <t>ゲン</t>
    </rPh>
    <phoneticPr fontId="1"/>
  </si>
  <si>
    <t>Sources of information on assets (e.g., documents and drawings, prototypes and software)</t>
  </si>
  <si>
    <r>
      <t>资产的信息来源（如文件和</t>
    </r>
    <r>
      <rPr>
        <b/>
        <sz val="12"/>
        <color theme="1"/>
        <rFont val="NSimSun"/>
        <family val="3"/>
        <charset val="134"/>
      </rPr>
      <t>图纸</t>
    </r>
    <r>
      <rPr>
        <b/>
        <sz val="12"/>
        <color theme="1"/>
        <rFont val="Meiryo UI"/>
        <family val="3"/>
        <charset val="128"/>
      </rPr>
      <t>、原型和</t>
    </r>
    <r>
      <rPr>
        <b/>
        <sz val="12"/>
        <color theme="1"/>
        <rFont val="NSimSun"/>
        <family val="3"/>
        <charset val="134"/>
      </rPr>
      <t>软</t>
    </r>
    <r>
      <rPr>
        <b/>
        <sz val="12"/>
        <color theme="1"/>
        <rFont val="Meiryo UI"/>
        <family val="3"/>
        <charset val="128"/>
      </rPr>
      <t>件）。</t>
    </r>
  </si>
  <si>
    <t>顧客製品の情報を含む資産（製品例：車両）</t>
    <rPh sb="0" eb="2">
      <t>コキャク</t>
    </rPh>
    <rPh sb="2" eb="4">
      <t>セイヒン</t>
    </rPh>
    <rPh sb="5" eb="7">
      <t>ジョウホウ</t>
    </rPh>
    <rPh sb="8" eb="9">
      <t>フク</t>
    </rPh>
    <rPh sb="10" eb="12">
      <t>シサン</t>
    </rPh>
    <rPh sb="13" eb="15">
      <t>セイヒン</t>
    </rPh>
    <rPh sb="15" eb="16">
      <t>レイ</t>
    </rPh>
    <rPh sb="17" eb="19">
      <t>シャリョウ</t>
    </rPh>
    <phoneticPr fontId="1"/>
  </si>
  <si>
    <t>Assets containing information on customer products (e.g., vehicles)</t>
    <phoneticPr fontId="1"/>
  </si>
  <si>
    <r>
      <t>含有客</t>
    </r>
    <r>
      <rPr>
        <sz val="10"/>
        <color theme="1"/>
        <rFont val="NSimSun"/>
        <family val="3"/>
        <charset val="134"/>
      </rPr>
      <t>户产</t>
    </r>
    <r>
      <rPr>
        <sz val="10"/>
        <color theme="1"/>
        <rFont val="Meiryo UI"/>
        <family val="3"/>
        <charset val="128"/>
      </rPr>
      <t>品信息的</t>
    </r>
    <r>
      <rPr>
        <sz val="10"/>
        <color theme="1"/>
        <rFont val="NSimSun"/>
        <family val="3"/>
        <charset val="134"/>
      </rPr>
      <t>资产</t>
    </r>
    <r>
      <rPr>
        <sz val="10"/>
        <color theme="1"/>
        <rFont val="Meiryo UI"/>
        <family val="3"/>
        <charset val="128"/>
      </rPr>
      <t>（如</t>
    </r>
    <r>
      <rPr>
        <sz val="10"/>
        <color theme="1"/>
        <rFont val="NSimSun"/>
        <family val="3"/>
        <charset val="134"/>
      </rPr>
      <t>车辆</t>
    </r>
    <r>
      <rPr>
        <sz val="10"/>
        <color theme="1"/>
        <rFont val="Meiryo UI"/>
        <family val="3"/>
        <charset val="128"/>
      </rPr>
      <t>）。</t>
    </r>
    <phoneticPr fontId="1"/>
  </si>
  <si>
    <t>Processed information obtained from external</t>
  </si>
  <si>
    <t>顧客製品の情報を社内情報に変換した資産</t>
    <rPh sb="0" eb="2">
      <t>コキャク</t>
    </rPh>
    <rPh sb="2" eb="4">
      <t>セイヒン</t>
    </rPh>
    <rPh sb="5" eb="7">
      <t>ジョウホウ</t>
    </rPh>
    <rPh sb="8" eb="10">
      <t>シャナイ</t>
    </rPh>
    <rPh sb="10" eb="12">
      <t>ジョウホウ</t>
    </rPh>
    <rPh sb="13" eb="15">
      <t>ヘンカン</t>
    </rPh>
    <rPh sb="17" eb="19">
      <t>シサン</t>
    </rPh>
    <phoneticPr fontId="1"/>
  </si>
  <si>
    <t>Assets that have been converted from customer product information to internal information</t>
    <phoneticPr fontId="1"/>
  </si>
  <si>
    <r>
      <t>由客</t>
    </r>
    <r>
      <rPr>
        <sz val="10"/>
        <color theme="1"/>
        <rFont val="NSimSun"/>
        <family val="3"/>
        <charset val="134"/>
      </rPr>
      <t>户产</t>
    </r>
    <r>
      <rPr>
        <sz val="10"/>
        <color theme="1"/>
        <rFont val="Meiryo UI"/>
        <family val="3"/>
        <charset val="128"/>
      </rPr>
      <t>品信息</t>
    </r>
    <r>
      <rPr>
        <sz val="10"/>
        <color theme="1"/>
        <rFont val="NSimSun"/>
        <family val="3"/>
        <charset val="134"/>
      </rPr>
      <t>转</t>
    </r>
    <r>
      <rPr>
        <sz val="10"/>
        <color theme="1"/>
        <rFont val="Meiryo UI"/>
        <family val="3"/>
        <charset val="128"/>
      </rPr>
      <t>化</t>
    </r>
    <r>
      <rPr>
        <sz val="10"/>
        <color theme="1"/>
        <rFont val="NSimSun"/>
        <family val="3"/>
        <charset val="134"/>
      </rPr>
      <t>为</t>
    </r>
    <r>
      <rPr>
        <sz val="10"/>
        <color theme="1"/>
        <rFont val="Meiryo UI"/>
        <family val="3"/>
        <charset val="128"/>
      </rPr>
      <t>内部信息的</t>
    </r>
    <r>
      <rPr>
        <sz val="10"/>
        <color theme="1"/>
        <rFont val="NSimSun"/>
        <family val="3"/>
        <charset val="134"/>
      </rPr>
      <t>资产</t>
    </r>
    <r>
      <rPr>
        <sz val="10"/>
        <color theme="1"/>
        <rFont val="Meiryo UI"/>
        <family val="3"/>
        <charset val="128"/>
      </rPr>
      <t>。</t>
    </r>
    <phoneticPr fontId="1"/>
  </si>
  <si>
    <t>Information created internally</t>
  </si>
  <si>
    <t>顧客製品を特定できない社内資産(情報)</t>
    <rPh sb="0" eb="2">
      <t>コキャク</t>
    </rPh>
    <rPh sb="5" eb="7">
      <t>トクテイ</t>
    </rPh>
    <rPh sb="11" eb="13">
      <t>シャナイ</t>
    </rPh>
    <rPh sb="13" eb="15">
      <t>シサン</t>
    </rPh>
    <rPh sb="16" eb="18">
      <t>ジョウホウ</t>
    </rPh>
    <phoneticPr fontId="1"/>
  </si>
  <si>
    <t>Internal assets (information) that do not identify customer products</t>
    <phoneticPr fontId="1"/>
  </si>
  <si>
    <r>
      <t>不能</t>
    </r>
    <r>
      <rPr>
        <sz val="10"/>
        <color theme="1"/>
        <rFont val="NSimSun"/>
        <family val="3"/>
        <charset val="134"/>
      </rPr>
      <t>识别</t>
    </r>
    <r>
      <rPr>
        <sz val="10"/>
        <color theme="1"/>
        <rFont val="Meiryo UI"/>
        <family val="3"/>
        <charset val="128"/>
      </rPr>
      <t>客</t>
    </r>
    <r>
      <rPr>
        <sz val="10"/>
        <color theme="1"/>
        <rFont val="NSimSun"/>
        <family val="3"/>
        <charset val="134"/>
      </rPr>
      <t>户产</t>
    </r>
    <r>
      <rPr>
        <sz val="10"/>
        <color theme="1"/>
        <rFont val="Meiryo UI"/>
        <family val="3"/>
        <charset val="128"/>
      </rPr>
      <t>品的内部</t>
    </r>
    <r>
      <rPr>
        <sz val="10"/>
        <color theme="1"/>
        <rFont val="NSimSun"/>
        <family val="3"/>
        <charset val="134"/>
      </rPr>
      <t>资产</t>
    </r>
    <r>
      <rPr>
        <sz val="10"/>
        <color theme="1"/>
        <rFont val="Meiryo UI"/>
        <family val="3"/>
        <charset val="128"/>
      </rPr>
      <t>（信息）。</t>
    </r>
    <phoneticPr fontId="1"/>
  </si>
  <si>
    <t>Public Information</t>
  </si>
  <si>
    <t>公知の資産(情報)</t>
    <rPh sb="0" eb="2">
      <t>コウチ</t>
    </rPh>
    <rPh sb="3" eb="5">
      <t>シサン</t>
    </rPh>
    <rPh sb="6" eb="8">
      <t>ジョウホウ</t>
    </rPh>
    <phoneticPr fontId="1"/>
  </si>
  <si>
    <t>Assets (information) in the public domain</t>
    <phoneticPr fontId="1"/>
  </si>
  <si>
    <r>
      <t>公共</t>
    </r>
    <r>
      <rPr>
        <sz val="10"/>
        <color theme="1"/>
        <rFont val="NSimSun"/>
        <family val="3"/>
        <charset val="134"/>
      </rPr>
      <t>领</t>
    </r>
    <r>
      <rPr>
        <sz val="10"/>
        <color theme="1"/>
        <rFont val="Meiryo UI"/>
        <family val="3"/>
        <charset val="128"/>
      </rPr>
      <t>域的</t>
    </r>
    <r>
      <rPr>
        <sz val="10"/>
        <color theme="1"/>
        <rFont val="NSimSun"/>
        <family val="3"/>
        <charset val="134"/>
      </rPr>
      <t>资产</t>
    </r>
    <r>
      <rPr>
        <sz val="10"/>
        <color theme="1"/>
        <rFont val="Meiryo UI"/>
        <family val="3"/>
        <charset val="128"/>
      </rPr>
      <t>(信息)</t>
    </r>
    <phoneticPr fontId="1"/>
  </si>
  <si>
    <t>管理責任者
Manager of the asset
资产管理人</t>
  </si>
  <si>
    <t>対象情報資産を管理する責任者</t>
    <rPh sb="0" eb="2">
      <t>タイショウ</t>
    </rPh>
    <rPh sb="2" eb="4">
      <t>ジョウホウ</t>
    </rPh>
    <rPh sb="4" eb="6">
      <t>シサン</t>
    </rPh>
    <rPh sb="7" eb="9">
      <t>カンリ</t>
    </rPh>
    <rPh sb="11" eb="14">
      <t>セキニンシャ</t>
    </rPh>
    <phoneticPr fontId="1"/>
  </si>
  <si>
    <t>Persons responsible for managing the subject information assets</t>
    <phoneticPr fontId="1"/>
  </si>
  <si>
    <r>
      <t>负责管理主体信息</t>
    </r>
    <r>
      <rPr>
        <b/>
        <sz val="12"/>
        <color theme="1"/>
        <rFont val="NSimSun"/>
        <family val="3"/>
        <charset val="134"/>
      </rPr>
      <t>资产</t>
    </r>
    <r>
      <rPr>
        <b/>
        <sz val="12"/>
        <color theme="1"/>
        <rFont val="Meiryo UI"/>
        <family val="3"/>
        <charset val="128"/>
      </rPr>
      <t>的人</t>
    </r>
    <r>
      <rPr>
        <b/>
        <sz val="12"/>
        <color theme="1"/>
        <rFont val="NSimSun"/>
        <family val="3"/>
        <charset val="134"/>
      </rPr>
      <t>员</t>
    </r>
    <phoneticPr fontId="1"/>
  </si>
  <si>
    <t>保管組織
Managing Organization of the asset
资产管理组织</t>
  </si>
  <si>
    <t>対象情報資産を管理する組織</t>
    <rPh sb="0" eb="2">
      <t>タイショウ</t>
    </rPh>
    <rPh sb="2" eb="4">
      <t>ジョウホウ</t>
    </rPh>
    <rPh sb="4" eb="6">
      <t>シサン</t>
    </rPh>
    <rPh sb="7" eb="9">
      <t>カンリ</t>
    </rPh>
    <rPh sb="11" eb="13">
      <t>ソシキ</t>
    </rPh>
    <phoneticPr fontId="1"/>
  </si>
  <si>
    <t>Organization that manages the subject information assets</t>
  </si>
  <si>
    <r>
      <t>管理有关信息</t>
    </r>
    <r>
      <rPr>
        <b/>
        <sz val="12"/>
        <color theme="1"/>
        <rFont val="NSimSun"/>
        <family val="3"/>
        <charset val="134"/>
      </rPr>
      <t>资产</t>
    </r>
    <r>
      <rPr>
        <b/>
        <sz val="12"/>
        <color theme="1"/>
        <rFont val="Meiryo UI"/>
        <family val="3"/>
        <charset val="128"/>
      </rPr>
      <t>的</t>
    </r>
    <r>
      <rPr>
        <b/>
        <sz val="12"/>
        <color theme="1"/>
        <rFont val="NSimSun"/>
        <family val="3"/>
        <charset val="134"/>
      </rPr>
      <t>组织</t>
    </r>
  </si>
  <si>
    <r>
      <t xml:space="preserve">オーナー部門
Responsible Department(Owning Department)
</t>
    </r>
    <r>
      <rPr>
        <b/>
        <sz val="10"/>
        <color theme="1"/>
        <rFont val="Microsoft YaHei"/>
        <family val="3"/>
        <charset val="134"/>
      </rPr>
      <t>责任部门</t>
    </r>
    <r>
      <rPr>
        <b/>
        <sz val="10"/>
        <color theme="1"/>
        <rFont val="Meiryo UI"/>
        <family val="3"/>
        <charset val="128"/>
      </rPr>
      <t>(</t>
    </r>
    <r>
      <rPr>
        <b/>
        <sz val="10"/>
        <color theme="1"/>
        <rFont val="Microsoft YaHei"/>
        <family val="3"/>
        <charset val="134"/>
      </rPr>
      <t>所属部门</t>
    </r>
    <r>
      <rPr>
        <b/>
        <sz val="10"/>
        <color theme="1"/>
        <rFont val="Meiryo UI"/>
        <family val="3"/>
        <charset val="128"/>
      </rPr>
      <t>)</t>
    </r>
    <rPh sb="4" eb="6">
      <t>ブモン</t>
    </rPh>
    <phoneticPr fontId="1"/>
  </si>
  <si>
    <t>対象情報資産の情報オーナー組織(統制管理責任組織)</t>
    <rPh sb="0" eb="2">
      <t>タイショウ</t>
    </rPh>
    <rPh sb="2" eb="4">
      <t>ジョウホウ</t>
    </rPh>
    <rPh sb="4" eb="6">
      <t>シサン</t>
    </rPh>
    <rPh sb="7" eb="9">
      <t>ジョウホウ</t>
    </rPh>
    <rPh sb="13" eb="15">
      <t>ソシキ</t>
    </rPh>
    <rPh sb="16" eb="18">
      <t>トウセイ</t>
    </rPh>
    <rPh sb="18" eb="20">
      <t>カンリ</t>
    </rPh>
    <rPh sb="20" eb="22">
      <t>セキニン</t>
    </rPh>
    <rPh sb="22" eb="24">
      <t>ソシキ</t>
    </rPh>
    <phoneticPr fontId="1"/>
  </si>
  <si>
    <r>
      <t>資産の利用目的
Purpose to use the asset
使用</t>
    </r>
    <r>
      <rPr>
        <b/>
        <sz val="11"/>
        <color theme="1"/>
        <rFont val="Microsoft YaHei"/>
        <family val="2"/>
        <charset val="134"/>
      </rPr>
      <t>该资产</t>
    </r>
    <r>
      <rPr>
        <b/>
        <sz val="11"/>
        <color theme="1"/>
        <rFont val="Meiryo UI"/>
        <family val="3"/>
        <charset val="128"/>
      </rPr>
      <t>的目的</t>
    </r>
    <rPh sb="0" eb="2">
      <t>シサン</t>
    </rPh>
    <rPh sb="3" eb="5">
      <t>リヨウ</t>
    </rPh>
    <phoneticPr fontId="1"/>
  </si>
  <si>
    <t>対象資産の使用目的</t>
    <rPh sb="0" eb="2">
      <t>タイショウ</t>
    </rPh>
    <rPh sb="2" eb="4">
      <t>シサン</t>
    </rPh>
    <rPh sb="5" eb="9">
      <t>シヨウモクテキ</t>
    </rPh>
    <phoneticPr fontId="1"/>
  </si>
  <si>
    <t>Purpose of use of the target assets</t>
  </si>
  <si>
    <r>
      <t>目</t>
    </r>
    <r>
      <rPr>
        <b/>
        <sz val="12"/>
        <color theme="1"/>
        <rFont val="NSimSun"/>
        <family val="3"/>
        <charset val="134"/>
      </rPr>
      <t>标资产</t>
    </r>
    <r>
      <rPr>
        <b/>
        <sz val="12"/>
        <color theme="1"/>
        <rFont val="Meiryo UI"/>
        <family val="3"/>
        <charset val="128"/>
      </rPr>
      <t>的使用目的</t>
    </r>
  </si>
  <si>
    <r>
      <t xml:space="preserve">資産利用の主要業務領域
Primary Business Area of Asset Usage
</t>
    </r>
    <r>
      <rPr>
        <b/>
        <sz val="10"/>
        <color theme="1"/>
        <rFont val="Microsoft YaHei"/>
        <family val="3"/>
        <charset val="134"/>
      </rPr>
      <t>该资产使用的主要业务领域</t>
    </r>
    <rPh sb="0" eb="2">
      <t>シサン</t>
    </rPh>
    <rPh sb="2" eb="4">
      <t>リヨウ</t>
    </rPh>
    <rPh sb="5" eb="7">
      <t>シュヨウ</t>
    </rPh>
    <rPh sb="7" eb="9">
      <t>ギョウム</t>
    </rPh>
    <rPh sb="9" eb="11">
      <t>リョウイキ</t>
    </rPh>
    <phoneticPr fontId="1"/>
  </si>
  <si>
    <t>どの主要業務領域で使用する情報資産か(選択式)</t>
    <rPh sb="2" eb="4">
      <t>シュヨウ</t>
    </rPh>
    <rPh sb="4" eb="6">
      <t>ギョウム</t>
    </rPh>
    <rPh sb="6" eb="8">
      <t>リョウイキ</t>
    </rPh>
    <rPh sb="9" eb="11">
      <t>シヨウ</t>
    </rPh>
    <rPh sb="13" eb="17">
      <t>ジョウホウシサン</t>
    </rPh>
    <rPh sb="19" eb="22">
      <t>センタクシキ</t>
    </rPh>
    <phoneticPr fontId="1"/>
  </si>
  <si>
    <t>外部公開
External public 
外部公共</t>
    <phoneticPr fontId="1"/>
  </si>
  <si>
    <t>インターネット上で公開しているWebサイトを利用しているか否か？
利用している場合はＹＥＳ、利用していない場合はＮＯ</t>
    <rPh sb="7" eb="8">
      <t>ジョウ</t>
    </rPh>
    <rPh sb="9" eb="11">
      <t>コウカイ</t>
    </rPh>
    <rPh sb="22" eb="24">
      <t>リヨウ</t>
    </rPh>
    <rPh sb="29" eb="30">
      <t>イナ</t>
    </rPh>
    <phoneticPr fontId="1"/>
  </si>
  <si>
    <t>In case of External public server usage please fill in YES, otherwise fill in NO.</t>
    <phoneticPr fontId="1"/>
  </si>
  <si>
    <t>如果将其用于外部公共服务器请填写YES，否则填写NO</t>
    <phoneticPr fontId="1"/>
  </si>
  <si>
    <r>
      <t xml:space="preserve">利用範囲
Viewing Authority
</t>
    </r>
    <r>
      <rPr>
        <b/>
        <sz val="11"/>
        <color theme="1"/>
        <rFont val="Microsoft JhengHei"/>
        <family val="2"/>
        <charset val="136"/>
      </rPr>
      <t>查</t>
    </r>
    <r>
      <rPr>
        <b/>
        <sz val="11"/>
        <color theme="1"/>
        <rFont val="Meiryo UI"/>
        <family val="3"/>
        <charset val="128"/>
      </rPr>
      <t>看权限</t>
    </r>
    <phoneticPr fontId="1"/>
  </si>
  <si>
    <t>資産を見ることのできるメンバー</t>
    <rPh sb="0" eb="2">
      <t>シサン</t>
    </rPh>
    <rPh sb="3" eb="4">
      <t>ミ</t>
    </rPh>
    <phoneticPr fontId="1"/>
  </si>
  <si>
    <t>Members who have access to the asset</t>
  </si>
  <si>
    <r>
      <t>有</t>
    </r>
    <r>
      <rPr>
        <b/>
        <sz val="12"/>
        <color theme="1"/>
        <rFont val="NSimSun"/>
        <family val="3"/>
        <charset val="134"/>
      </rPr>
      <t>权</t>
    </r>
    <r>
      <rPr>
        <b/>
        <sz val="12"/>
        <color theme="1"/>
        <rFont val="Meiryo UI"/>
        <family val="3"/>
        <charset val="128"/>
      </rPr>
      <t>使用</t>
    </r>
    <r>
      <rPr>
        <b/>
        <sz val="12"/>
        <color theme="1"/>
        <rFont val="NSimSun"/>
        <family val="3"/>
        <charset val="134"/>
      </rPr>
      <t>资产</t>
    </r>
    <r>
      <rPr>
        <b/>
        <sz val="12"/>
        <color theme="1"/>
        <rFont val="Meiryo UI"/>
        <family val="3"/>
        <charset val="128"/>
      </rPr>
      <t>的成</t>
    </r>
    <r>
      <rPr>
        <b/>
        <sz val="12"/>
        <color theme="1"/>
        <rFont val="NSimSun"/>
        <family val="3"/>
        <charset val="134"/>
      </rPr>
      <t>员</t>
    </r>
  </si>
  <si>
    <t>NDA契約を結んだプロジェクトメンバーのみ閲覧可</t>
    <rPh sb="3" eb="5">
      <t>ケイヤク</t>
    </rPh>
    <rPh sb="6" eb="7">
      <t>ムス</t>
    </rPh>
    <rPh sb="21" eb="23">
      <t>エツラン</t>
    </rPh>
    <rPh sb="23" eb="24">
      <t>カ</t>
    </rPh>
    <phoneticPr fontId="1"/>
  </si>
  <si>
    <t>Only project members who have signed an NDA agreement can view the asset</t>
    <phoneticPr fontId="1"/>
  </si>
  <si>
    <r>
      <t>只有</t>
    </r>
    <r>
      <rPr>
        <sz val="10"/>
        <color theme="1"/>
        <rFont val="NSimSun"/>
        <family val="3"/>
        <charset val="134"/>
      </rPr>
      <t>签</t>
    </r>
    <r>
      <rPr>
        <sz val="10"/>
        <color theme="1"/>
        <rFont val="Meiryo UI"/>
        <family val="3"/>
        <charset val="128"/>
      </rPr>
      <t>署了NDA</t>
    </r>
    <r>
      <rPr>
        <sz val="10"/>
        <color theme="1"/>
        <rFont val="NSimSun"/>
        <family val="3"/>
        <charset val="134"/>
      </rPr>
      <t>协议</t>
    </r>
    <r>
      <rPr>
        <sz val="10"/>
        <color theme="1"/>
        <rFont val="Meiryo UI"/>
        <family val="3"/>
        <charset val="128"/>
      </rPr>
      <t>的</t>
    </r>
    <r>
      <rPr>
        <sz val="10"/>
        <color theme="1"/>
        <rFont val="NSimSun"/>
        <family val="3"/>
        <charset val="134"/>
      </rPr>
      <t>项</t>
    </r>
    <r>
      <rPr>
        <sz val="10"/>
        <color theme="1"/>
        <rFont val="Meiryo UI"/>
        <family val="3"/>
        <charset val="128"/>
      </rPr>
      <t>目成</t>
    </r>
    <r>
      <rPr>
        <sz val="10"/>
        <color theme="1"/>
        <rFont val="NSimSun"/>
        <family val="3"/>
        <charset val="134"/>
      </rPr>
      <t>员</t>
    </r>
    <r>
      <rPr>
        <sz val="10"/>
        <color theme="1"/>
        <rFont val="Meiryo UI"/>
        <family val="3"/>
        <charset val="128"/>
      </rPr>
      <t>才能</t>
    </r>
    <r>
      <rPr>
        <sz val="10"/>
        <color theme="1"/>
        <rFont val="Malgun Gothic Semilight"/>
        <family val="3"/>
        <charset val="129"/>
      </rPr>
      <t>查</t>
    </r>
    <r>
      <rPr>
        <sz val="10"/>
        <color theme="1"/>
        <rFont val="Meiryo UI"/>
        <family val="3"/>
        <charset val="128"/>
      </rPr>
      <t>看</t>
    </r>
    <r>
      <rPr>
        <sz val="10"/>
        <color theme="1"/>
        <rFont val="NSimSun"/>
        <family val="3"/>
        <charset val="134"/>
      </rPr>
      <t>资产</t>
    </r>
    <r>
      <rPr>
        <sz val="10"/>
        <color theme="1"/>
        <rFont val="Meiryo UI"/>
        <family val="3"/>
        <charset val="128"/>
      </rPr>
      <t>。</t>
    </r>
    <phoneticPr fontId="1"/>
  </si>
  <si>
    <t>Ａ</t>
    <phoneticPr fontId="1"/>
  </si>
  <si>
    <t>同一顧客＆同一製品群に携わるメンバーのみ閲覧可</t>
    <rPh sb="0" eb="2">
      <t>ドウイツ</t>
    </rPh>
    <rPh sb="2" eb="4">
      <t>コキャク</t>
    </rPh>
    <rPh sb="5" eb="7">
      <t>ドウイツ</t>
    </rPh>
    <rPh sb="7" eb="9">
      <t>セイヒン</t>
    </rPh>
    <rPh sb="9" eb="10">
      <t>グン</t>
    </rPh>
    <rPh sb="11" eb="12">
      <t>タズサ</t>
    </rPh>
    <rPh sb="20" eb="22">
      <t>エツラン</t>
    </rPh>
    <rPh sb="22" eb="23">
      <t>カ</t>
    </rPh>
    <phoneticPr fontId="1"/>
  </si>
  <si>
    <t>Only members who work for the same customer and product group can view the assets.</t>
    <phoneticPr fontId="1"/>
  </si>
  <si>
    <r>
      <t>只有</t>
    </r>
    <r>
      <rPr>
        <sz val="10"/>
        <color theme="1"/>
        <rFont val="NSimSun"/>
        <family val="3"/>
        <charset val="134"/>
      </rPr>
      <t>为</t>
    </r>
    <r>
      <rPr>
        <sz val="10"/>
        <color theme="1"/>
        <rFont val="Meiryo UI"/>
        <family val="3"/>
        <charset val="128"/>
      </rPr>
      <t>同一客</t>
    </r>
    <r>
      <rPr>
        <sz val="10"/>
        <color theme="1"/>
        <rFont val="NSimSun"/>
        <family val="3"/>
        <charset val="134"/>
      </rPr>
      <t>户</t>
    </r>
    <r>
      <rPr>
        <sz val="10"/>
        <color theme="1"/>
        <rFont val="Meiryo UI"/>
        <family val="3"/>
        <charset val="128"/>
      </rPr>
      <t>和</t>
    </r>
    <r>
      <rPr>
        <sz val="10"/>
        <color theme="1"/>
        <rFont val="NSimSun"/>
        <family val="3"/>
        <charset val="134"/>
      </rPr>
      <t>产</t>
    </r>
    <r>
      <rPr>
        <sz val="10"/>
        <color theme="1"/>
        <rFont val="Meiryo UI"/>
        <family val="3"/>
        <charset val="128"/>
      </rPr>
      <t>品</t>
    </r>
    <r>
      <rPr>
        <sz val="10"/>
        <color theme="1"/>
        <rFont val="NSimSun"/>
        <family val="3"/>
        <charset val="134"/>
      </rPr>
      <t>组</t>
    </r>
    <r>
      <rPr>
        <sz val="10"/>
        <color theme="1"/>
        <rFont val="Meiryo UI"/>
        <family val="3"/>
        <charset val="128"/>
      </rPr>
      <t>工作的成</t>
    </r>
    <r>
      <rPr>
        <sz val="10"/>
        <color theme="1"/>
        <rFont val="NSimSun"/>
        <family val="3"/>
        <charset val="134"/>
      </rPr>
      <t>员</t>
    </r>
    <r>
      <rPr>
        <sz val="10"/>
        <color theme="1"/>
        <rFont val="Meiryo UI"/>
        <family val="3"/>
        <charset val="128"/>
      </rPr>
      <t>才能</t>
    </r>
    <r>
      <rPr>
        <sz val="10"/>
        <color theme="1"/>
        <rFont val="Microsoft JhengHei"/>
        <family val="2"/>
        <charset val="136"/>
      </rPr>
      <t>查</t>
    </r>
    <r>
      <rPr>
        <sz val="10"/>
        <color theme="1"/>
        <rFont val="Meiryo UI"/>
        <family val="3"/>
        <charset val="128"/>
      </rPr>
      <t>看</t>
    </r>
    <r>
      <rPr>
        <sz val="10"/>
        <color theme="1"/>
        <rFont val="NSimSun"/>
        <family val="3"/>
        <charset val="134"/>
      </rPr>
      <t>资产</t>
    </r>
    <r>
      <rPr>
        <sz val="10"/>
        <color theme="1"/>
        <rFont val="Meiryo UI"/>
        <family val="3"/>
        <charset val="128"/>
      </rPr>
      <t>。</t>
    </r>
    <phoneticPr fontId="1"/>
  </si>
  <si>
    <t>Ｂ</t>
    <phoneticPr fontId="1"/>
  </si>
  <si>
    <t>同一顧客に携わるメンバーのみ閲覧可</t>
    <rPh sb="0" eb="2">
      <t>ドウイツ</t>
    </rPh>
    <rPh sb="2" eb="4">
      <t>コキャク</t>
    </rPh>
    <rPh sb="5" eb="6">
      <t>タズサ</t>
    </rPh>
    <rPh sb="14" eb="16">
      <t>エツラン</t>
    </rPh>
    <rPh sb="16" eb="17">
      <t>カ</t>
    </rPh>
    <phoneticPr fontId="1"/>
  </si>
  <si>
    <t>Viewable only by members working for the same customer</t>
    <phoneticPr fontId="1"/>
  </si>
  <si>
    <r>
      <t>只有</t>
    </r>
    <r>
      <rPr>
        <sz val="10"/>
        <color theme="1"/>
        <rFont val="NSimSun"/>
        <family val="3"/>
        <charset val="134"/>
      </rPr>
      <t>为</t>
    </r>
    <r>
      <rPr>
        <sz val="10"/>
        <color theme="1"/>
        <rFont val="Meiryo UI"/>
        <family val="3"/>
        <charset val="128"/>
      </rPr>
      <t>同一客</t>
    </r>
    <r>
      <rPr>
        <sz val="10"/>
        <color theme="1"/>
        <rFont val="NSimSun"/>
        <family val="3"/>
        <charset val="134"/>
      </rPr>
      <t>户</t>
    </r>
    <r>
      <rPr>
        <sz val="10"/>
        <color theme="1"/>
        <rFont val="Meiryo UI"/>
        <family val="3"/>
        <charset val="128"/>
      </rPr>
      <t>工作的成</t>
    </r>
    <r>
      <rPr>
        <sz val="10"/>
        <color theme="1"/>
        <rFont val="NSimSun"/>
        <family val="3"/>
        <charset val="134"/>
      </rPr>
      <t>员</t>
    </r>
    <r>
      <rPr>
        <sz val="10"/>
        <color theme="1"/>
        <rFont val="Meiryo UI"/>
        <family val="3"/>
        <charset val="128"/>
      </rPr>
      <t>才能</t>
    </r>
    <r>
      <rPr>
        <sz val="10"/>
        <color theme="1"/>
        <rFont val="Microsoft JhengHei"/>
        <family val="2"/>
        <charset val="136"/>
      </rPr>
      <t>查</t>
    </r>
    <r>
      <rPr>
        <sz val="10"/>
        <color theme="1"/>
        <rFont val="Meiryo UI"/>
        <family val="3"/>
        <charset val="128"/>
      </rPr>
      <t>看。</t>
    </r>
    <phoneticPr fontId="1"/>
  </si>
  <si>
    <t>Ｃ</t>
    <phoneticPr fontId="1"/>
  </si>
  <si>
    <t>社内メンバーが閲覧可</t>
    <rPh sb="0" eb="2">
      <t>シャナイ</t>
    </rPh>
    <rPh sb="7" eb="9">
      <t>エツラン</t>
    </rPh>
    <rPh sb="9" eb="10">
      <t>カ</t>
    </rPh>
    <phoneticPr fontId="1"/>
  </si>
  <si>
    <t xml:space="preserve"> Can be viewed by internal members</t>
  </si>
  <si>
    <r>
      <t>可供内部成</t>
    </r>
    <r>
      <rPr>
        <sz val="10"/>
        <color theme="1"/>
        <rFont val="NSimSun"/>
        <family val="3"/>
        <charset val="134"/>
      </rPr>
      <t>员</t>
    </r>
    <r>
      <rPr>
        <sz val="10"/>
        <color theme="1"/>
        <rFont val="Microsoft JhengHei"/>
        <family val="2"/>
        <charset val="136"/>
      </rPr>
      <t>查</t>
    </r>
    <r>
      <rPr>
        <sz val="10"/>
        <color theme="1"/>
        <rFont val="Meiryo UI"/>
        <family val="3"/>
        <charset val="128"/>
      </rPr>
      <t>看</t>
    </r>
    <phoneticPr fontId="1"/>
  </si>
  <si>
    <t>D</t>
    <phoneticPr fontId="1"/>
  </si>
  <si>
    <t>社外メンバーが閲覧可</t>
    <rPh sb="0" eb="2">
      <t>シャガイ</t>
    </rPh>
    <rPh sb="7" eb="9">
      <t>エツラン</t>
    </rPh>
    <rPh sb="9" eb="10">
      <t>カ</t>
    </rPh>
    <phoneticPr fontId="1"/>
  </si>
  <si>
    <t xml:space="preserve"> Can be viewed by external members</t>
    <phoneticPr fontId="1"/>
  </si>
  <si>
    <r>
      <t>可供外部成</t>
    </r>
    <r>
      <rPr>
        <sz val="10"/>
        <rFont val="NSimSun"/>
        <family val="3"/>
        <charset val="134"/>
      </rPr>
      <t>员</t>
    </r>
    <r>
      <rPr>
        <sz val="10"/>
        <rFont val="Microsoft JhengHei"/>
        <family val="2"/>
        <charset val="136"/>
      </rPr>
      <t>查</t>
    </r>
    <r>
      <rPr>
        <sz val="10"/>
        <rFont val="Meiryo UI"/>
        <family val="3"/>
        <charset val="128"/>
      </rPr>
      <t>看</t>
    </r>
    <rPh sb="2" eb="3">
      <t>ソト</t>
    </rPh>
    <phoneticPr fontId="1"/>
  </si>
  <si>
    <t>取扱可能範囲
Permitted Scope of Use
可处理范围</t>
    <phoneticPr fontId="1"/>
  </si>
  <si>
    <t>対象情報資産のアクセス者の条件や保管条件など記載</t>
    <rPh sb="0" eb="6">
      <t>タイショウジョウホウシサン</t>
    </rPh>
    <rPh sb="11" eb="12">
      <t>シャ</t>
    </rPh>
    <rPh sb="13" eb="15">
      <t>ジョウケン</t>
    </rPh>
    <rPh sb="16" eb="18">
      <t>ホカン</t>
    </rPh>
    <rPh sb="18" eb="20">
      <t>ジョウケン</t>
    </rPh>
    <rPh sb="22" eb="24">
      <t>キサイ</t>
    </rPh>
    <phoneticPr fontId="1"/>
  </si>
  <si>
    <t>形式・カテゴリ
Media form
媒体形式</t>
  </si>
  <si>
    <t>Electric(電子)/Paper（紙)/Phisical Object(物体)/
ITハード/アプリ, ITサポートインフラ, 外部委託サービス</t>
    <rPh sb="38" eb="40">
      <t>ブッタイ</t>
    </rPh>
    <phoneticPr fontId="1"/>
  </si>
  <si>
    <t>Electronic/paper/physical/
IT hardware/applications, IT support infrastructure, outsourced services</t>
    <phoneticPr fontId="1"/>
  </si>
  <si>
    <r>
      <rPr>
        <b/>
        <sz val="12"/>
        <color theme="1"/>
        <rFont val="Microsoft YaHei"/>
        <family val="2"/>
        <charset val="134"/>
      </rPr>
      <t>电</t>
    </r>
    <r>
      <rPr>
        <b/>
        <sz val="12"/>
        <color theme="1"/>
        <rFont val="Meiryo UI"/>
        <family val="3"/>
        <charset val="128"/>
      </rPr>
      <t>子/</t>
    </r>
    <r>
      <rPr>
        <b/>
        <sz val="12"/>
        <color theme="1"/>
        <rFont val="NSimSun"/>
        <family val="3"/>
        <charset val="134"/>
      </rPr>
      <t>纸质</t>
    </r>
    <r>
      <rPr>
        <b/>
        <sz val="12"/>
        <color theme="1"/>
        <rFont val="Meiryo UI"/>
        <family val="3"/>
        <charset val="128"/>
      </rPr>
      <t>/</t>
    </r>
    <r>
      <rPr>
        <b/>
        <sz val="12"/>
        <color theme="1"/>
        <rFont val="NSimSun"/>
        <family val="3"/>
        <charset val="134"/>
      </rPr>
      <t>实</t>
    </r>
    <r>
      <rPr>
        <b/>
        <sz val="12"/>
        <color theme="1"/>
        <rFont val="Meiryo UI"/>
        <family val="3"/>
        <charset val="128"/>
      </rPr>
      <t xml:space="preserve">物/
</t>
    </r>
    <r>
      <rPr>
        <b/>
        <sz val="12"/>
        <color theme="1"/>
        <rFont val="NSimSun"/>
        <family val="3"/>
        <charset val="134"/>
      </rPr>
      <t>IT硬件/应用、IT支持基础设施、外包服务。</t>
    </r>
    <phoneticPr fontId="1"/>
  </si>
  <si>
    <t>媒体形式・カテゴリ
Media form
媒体形式</t>
    <rPh sb="0" eb="2">
      <t>バイタイ</t>
    </rPh>
    <phoneticPr fontId="1"/>
  </si>
  <si>
    <t>Electric(電子)/Paper（紙)/Phisical Object(物体)</t>
    <rPh sb="38" eb="40">
      <t>ブッタイ</t>
    </rPh>
    <phoneticPr fontId="1"/>
  </si>
  <si>
    <t>媒体の扱い
Media Treatment
媒体处理</t>
  </si>
  <si>
    <t>情報・文書類の保管方法（紙・CD/DVD等の記録メディア）</t>
    <rPh sb="0" eb="2">
      <t>ジョウホウ</t>
    </rPh>
    <rPh sb="3" eb="5">
      <t>ブンショ</t>
    </rPh>
    <rPh sb="5" eb="6">
      <t>ルイ</t>
    </rPh>
    <rPh sb="7" eb="9">
      <t>ホカン</t>
    </rPh>
    <rPh sb="9" eb="11">
      <t>ホウホウ</t>
    </rPh>
    <phoneticPr fontId="1"/>
  </si>
  <si>
    <t>電子ファイル</t>
    <rPh sb="0" eb="2">
      <t>デンシ</t>
    </rPh>
    <phoneticPr fontId="1"/>
  </si>
  <si>
    <t xml:space="preserve">Storage method of information/documents (paper,  media such as CD/DVD) </t>
    <phoneticPr fontId="1"/>
  </si>
  <si>
    <t>Electronic files</t>
  </si>
  <si>
    <r>
      <t>信息/文件的存</t>
    </r>
    <r>
      <rPr>
        <b/>
        <sz val="12"/>
        <color theme="1"/>
        <rFont val="NSimSun"/>
        <family val="3"/>
        <charset val="134"/>
      </rPr>
      <t>储</t>
    </r>
    <r>
      <rPr>
        <b/>
        <sz val="12"/>
        <color theme="1"/>
        <rFont val="Meiryo UI"/>
        <family val="3"/>
        <charset val="128"/>
      </rPr>
      <t>方法（</t>
    </r>
    <r>
      <rPr>
        <b/>
        <sz val="12"/>
        <color theme="1"/>
        <rFont val="NSimSun"/>
        <family val="3"/>
        <charset val="134"/>
      </rPr>
      <t>纸张</t>
    </r>
    <r>
      <rPr>
        <b/>
        <sz val="12"/>
        <color theme="1"/>
        <rFont val="Meiryo UI"/>
        <family val="3"/>
        <charset val="128"/>
      </rPr>
      <t xml:space="preserve">、CD/DVD等媒介） </t>
    </r>
    <phoneticPr fontId="1"/>
  </si>
  <si>
    <r>
      <rPr>
        <b/>
        <sz val="12"/>
        <color theme="1"/>
        <rFont val="NSimSun"/>
        <family val="3"/>
        <charset val="134"/>
      </rPr>
      <t>电</t>
    </r>
    <r>
      <rPr>
        <b/>
        <sz val="12"/>
        <color theme="1"/>
        <rFont val="Meiryo UI"/>
        <family val="3"/>
        <charset val="128"/>
      </rPr>
      <t>子文件</t>
    </r>
  </si>
  <si>
    <t>施錠室内の移動難＆施錠付き
キャビネット、コピー不可</t>
    <rPh sb="0" eb="2">
      <t>セジョウ</t>
    </rPh>
    <rPh sb="2" eb="4">
      <t>シツナイ</t>
    </rPh>
    <rPh sb="24" eb="26">
      <t>フカ</t>
    </rPh>
    <phoneticPr fontId="1"/>
  </si>
  <si>
    <t>暗号化＆参照・印刷・保存・コピー制限付加</t>
    <rPh sb="0" eb="3">
      <t>アンゴウカ</t>
    </rPh>
    <rPh sb="4" eb="6">
      <t>サンショウ</t>
    </rPh>
    <rPh sb="18" eb="20">
      <t>フカ</t>
    </rPh>
    <phoneticPr fontId="1"/>
  </si>
  <si>
    <t>Difficult to move &amp; locked cabinet in locked room, NO copying.</t>
    <phoneticPr fontId="1"/>
  </si>
  <si>
    <t>Encryption and restrictions on referencing, printing, saving, 
and copying added</t>
    <phoneticPr fontId="1"/>
  </si>
  <si>
    <r>
      <rPr>
        <sz val="10"/>
        <color theme="1"/>
        <rFont val="NSimSun"/>
        <family val="3"/>
        <charset val="134"/>
      </rPr>
      <t>难</t>
    </r>
    <r>
      <rPr>
        <sz val="10"/>
        <color theme="1"/>
        <rFont val="Meiryo UI"/>
        <family val="3"/>
        <charset val="128"/>
      </rPr>
      <t>以移</t>
    </r>
    <r>
      <rPr>
        <sz val="10"/>
        <color theme="1"/>
        <rFont val="NSimSun"/>
        <family val="3"/>
        <charset val="134"/>
      </rPr>
      <t>动</t>
    </r>
    <r>
      <rPr>
        <sz val="10"/>
        <color theme="1"/>
        <rFont val="Meiryo UI"/>
        <family val="3"/>
        <charset val="128"/>
      </rPr>
      <t>&amp;</t>
    </r>
    <r>
      <rPr>
        <sz val="10"/>
        <color theme="1"/>
        <rFont val="NSimSun"/>
        <family val="3"/>
        <charset val="134"/>
      </rPr>
      <t>锁</t>
    </r>
    <r>
      <rPr>
        <sz val="10"/>
        <color theme="1"/>
        <rFont val="Meiryo UI"/>
        <family val="3"/>
        <charset val="128"/>
      </rPr>
      <t>在房</t>
    </r>
    <r>
      <rPr>
        <sz val="10"/>
        <color theme="1"/>
        <rFont val="NSimSun"/>
        <family val="3"/>
        <charset val="134"/>
      </rPr>
      <t>间</t>
    </r>
    <r>
      <rPr>
        <sz val="10"/>
        <color theme="1"/>
        <rFont val="Meiryo UI"/>
        <family val="3"/>
        <charset val="128"/>
      </rPr>
      <t>里的柜子，NO复制。</t>
    </r>
    <phoneticPr fontId="1"/>
  </si>
  <si>
    <r>
      <t>加密和限制参考、打印、保存。和</t>
    </r>
    <r>
      <rPr>
        <sz val="10"/>
        <color theme="1"/>
        <rFont val="Microsoft JhengHei"/>
        <family val="2"/>
        <charset val="136"/>
      </rPr>
      <t>补</t>
    </r>
    <r>
      <rPr>
        <sz val="10"/>
        <color theme="1"/>
        <rFont val="Meiryo UI"/>
        <family val="3"/>
        <charset val="128"/>
      </rPr>
      <t>充复制</t>
    </r>
    <phoneticPr fontId="1"/>
  </si>
  <si>
    <t>施錠室内の施錠付きキャビネット、コピー制限</t>
    <rPh sb="0" eb="2">
      <t>セジョウ</t>
    </rPh>
    <rPh sb="2" eb="4">
      <t>シツナイ</t>
    </rPh>
    <rPh sb="19" eb="21">
      <t>セイゲン</t>
    </rPh>
    <phoneticPr fontId="1"/>
  </si>
  <si>
    <t>暗号化（社内保管）</t>
    <rPh sb="0" eb="2">
      <t>アンゴウ</t>
    </rPh>
    <rPh sb="2" eb="3">
      <t>カ</t>
    </rPh>
    <rPh sb="4" eb="6">
      <t>シャナイ</t>
    </rPh>
    <rPh sb="6" eb="8">
      <t>ホカン</t>
    </rPh>
    <phoneticPr fontId="1"/>
  </si>
  <si>
    <t>Locked cabinet in locked room, NO copying.</t>
    <phoneticPr fontId="1"/>
  </si>
  <si>
    <t>Encryption. (Storaga insite)</t>
    <phoneticPr fontId="1"/>
  </si>
  <si>
    <r>
      <t>上</t>
    </r>
    <r>
      <rPr>
        <sz val="10"/>
        <color theme="1"/>
        <rFont val="NSimSun"/>
        <family val="3"/>
        <charset val="134"/>
      </rPr>
      <t>锁</t>
    </r>
    <r>
      <rPr>
        <sz val="10"/>
        <color theme="1"/>
        <rFont val="Meiryo UI"/>
        <family val="3"/>
        <charset val="128"/>
      </rPr>
      <t>的柜子在上</t>
    </r>
    <r>
      <rPr>
        <sz val="10"/>
        <color theme="1"/>
        <rFont val="NSimSun"/>
        <family val="3"/>
        <charset val="134"/>
      </rPr>
      <t>锁</t>
    </r>
    <r>
      <rPr>
        <sz val="10"/>
        <color theme="1"/>
        <rFont val="Meiryo UI"/>
        <family val="3"/>
        <charset val="128"/>
      </rPr>
      <t>的房</t>
    </r>
    <r>
      <rPr>
        <sz val="10"/>
        <color theme="1"/>
        <rFont val="NSimSun"/>
        <family val="3"/>
        <charset val="134"/>
      </rPr>
      <t>间</t>
    </r>
    <r>
      <rPr>
        <sz val="10"/>
        <color theme="1"/>
        <rFont val="Meiryo UI"/>
        <family val="3"/>
        <charset val="128"/>
      </rPr>
      <t>里，不要复制。</t>
    </r>
    <phoneticPr fontId="1"/>
  </si>
  <si>
    <r>
      <t>加密。(内部存</t>
    </r>
    <r>
      <rPr>
        <sz val="10"/>
        <color theme="1"/>
        <rFont val="NSimSun"/>
        <family val="3"/>
        <charset val="134"/>
      </rPr>
      <t>储</t>
    </r>
    <r>
      <rPr>
        <sz val="10"/>
        <color theme="1"/>
        <rFont val="Meiryo UI"/>
        <family val="3"/>
        <charset val="128"/>
      </rPr>
      <t>)</t>
    </r>
    <phoneticPr fontId="1"/>
  </si>
  <si>
    <t>施錠室内のキャビネット</t>
    <phoneticPr fontId="1"/>
  </si>
  <si>
    <t>制限無し（社内保管）</t>
    <rPh sb="0" eb="2">
      <t>セイゲン</t>
    </rPh>
    <rPh sb="2" eb="3">
      <t>ナ</t>
    </rPh>
    <rPh sb="5" eb="7">
      <t>シャナイ</t>
    </rPh>
    <rPh sb="7" eb="9">
      <t>ホカン</t>
    </rPh>
    <phoneticPr fontId="1"/>
  </si>
  <si>
    <t>Cabinet in locked room,.</t>
    <phoneticPr fontId="1"/>
  </si>
  <si>
    <t>No restriction (Storage insite)</t>
    <phoneticPr fontId="1"/>
  </si>
  <si>
    <r>
      <t>柜子在上</t>
    </r>
    <r>
      <rPr>
        <sz val="10"/>
        <color theme="1"/>
        <rFont val="NSimSun"/>
        <family val="3"/>
        <charset val="134"/>
      </rPr>
      <t>锁</t>
    </r>
    <r>
      <rPr>
        <sz val="10"/>
        <color theme="1"/>
        <rFont val="Meiryo UI"/>
        <family val="3"/>
        <charset val="128"/>
      </rPr>
      <t>的房</t>
    </r>
    <r>
      <rPr>
        <sz val="10"/>
        <color theme="1"/>
        <rFont val="NSimSun"/>
        <family val="3"/>
        <charset val="134"/>
      </rPr>
      <t>间</t>
    </r>
    <r>
      <rPr>
        <sz val="10"/>
        <color theme="1"/>
        <rFont val="Meiryo UI"/>
        <family val="3"/>
        <charset val="128"/>
      </rPr>
      <t>，。</t>
    </r>
    <phoneticPr fontId="1"/>
  </si>
  <si>
    <r>
      <t>无限制(内部存</t>
    </r>
    <r>
      <rPr>
        <sz val="10"/>
        <color theme="1"/>
        <rFont val="NSimSun"/>
        <family val="3"/>
        <charset val="134"/>
      </rPr>
      <t>储</t>
    </r>
    <r>
      <rPr>
        <sz val="10"/>
        <color theme="1"/>
        <rFont val="Meiryo UI"/>
        <family val="3"/>
        <charset val="128"/>
      </rPr>
      <t>)</t>
    </r>
    <phoneticPr fontId="1"/>
  </si>
  <si>
    <t>施錠不要</t>
    <rPh sb="0" eb="2">
      <t>セジョウ</t>
    </rPh>
    <rPh sb="2" eb="4">
      <t>フヨウ</t>
    </rPh>
    <phoneticPr fontId="1"/>
  </si>
  <si>
    <t>制限無し</t>
    <rPh sb="0" eb="2">
      <t>セイゲン</t>
    </rPh>
    <rPh sb="2" eb="3">
      <t>ナ</t>
    </rPh>
    <phoneticPr fontId="1"/>
  </si>
  <si>
    <t>No locking required No restrictions</t>
    <phoneticPr fontId="1"/>
  </si>
  <si>
    <t>No restriction</t>
    <phoneticPr fontId="1"/>
  </si>
  <si>
    <r>
      <t>无需</t>
    </r>
    <r>
      <rPr>
        <sz val="10"/>
        <color theme="1"/>
        <rFont val="NSimSun"/>
        <family val="3"/>
        <charset val="134"/>
      </rPr>
      <t>锁</t>
    </r>
    <r>
      <rPr>
        <sz val="10"/>
        <color theme="1"/>
        <rFont val="Meiryo UI"/>
        <family val="3"/>
        <charset val="128"/>
      </rPr>
      <t xml:space="preserve">定 </t>
    </r>
    <phoneticPr fontId="1"/>
  </si>
  <si>
    <t>无限制</t>
    <phoneticPr fontId="1"/>
  </si>
  <si>
    <t>保管場所・
Storage space of the media
介质的存储空间</t>
  </si>
  <si>
    <t>出荷意図の無い試作品・文書類の保管格納場所、電子ファイルの保管先補助資産名</t>
    <rPh sb="0" eb="2">
      <t>シュッカ</t>
    </rPh>
    <rPh sb="2" eb="4">
      <t>イト</t>
    </rPh>
    <rPh sb="5" eb="6">
      <t>ナ</t>
    </rPh>
    <rPh sb="7" eb="10">
      <t>シサクヒン</t>
    </rPh>
    <rPh sb="11" eb="13">
      <t>ブンショ</t>
    </rPh>
    <rPh sb="13" eb="14">
      <t>ルイ</t>
    </rPh>
    <rPh sb="15" eb="17">
      <t>ホカン</t>
    </rPh>
    <rPh sb="17" eb="19">
      <t>カクノウ</t>
    </rPh>
    <rPh sb="19" eb="21">
      <t>バショ</t>
    </rPh>
    <rPh sb="29" eb="31">
      <t>ホカン</t>
    </rPh>
    <rPh sb="31" eb="32">
      <t>サキ</t>
    </rPh>
    <rPh sb="32" eb="34">
      <t>ホジョ</t>
    </rPh>
    <rPh sb="34" eb="36">
      <t>シサン</t>
    </rPh>
    <rPh sb="36" eb="37">
      <t>メイ</t>
    </rPh>
    <phoneticPr fontId="1"/>
  </si>
  <si>
    <t>Storage location for prototypes and documents not intended for shipment, storage location for electronic files Auxiliary asset name</t>
  </si>
  <si>
    <r>
      <t>原型和不准</t>
    </r>
    <r>
      <rPr>
        <b/>
        <sz val="12"/>
        <color theme="1"/>
        <rFont val="NSimSun"/>
        <family val="3"/>
        <charset val="134"/>
      </rPr>
      <t>备</t>
    </r>
    <r>
      <rPr>
        <b/>
        <sz val="12"/>
        <color theme="1"/>
        <rFont val="Meiryo UI"/>
        <family val="3"/>
        <charset val="128"/>
      </rPr>
      <t>装运的文件的存放地点，</t>
    </r>
    <r>
      <rPr>
        <b/>
        <sz val="12"/>
        <color theme="1"/>
        <rFont val="NSimSun"/>
        <family val="3"/>
        <charset val="134"/>
      </rPr>
      <t>电</t>
    </r>
    <r>
      <rPr>
        <b/>
        <sz val="12"/>
        <color theme="1"/>
        <rFont val="Meiryo UI"/>
        <family val="3"/>
        <charset val="128"/>
      </rPr>
      <t xml:space="preserve">子文件的存放地点 </t>
    </r>
    <r>
      <rPr>
        <b/>
        <sz val="12"/>
        <color theme="1"/>
        <rFont val="NSimSun"/>
        <family val="3"/>
        <charset val="134"/>
      </rPr>
      <t>辅</t>
    </r>
    <r>
      <rPr>
        <b/>
        <sz val="12"/>
        <color theme="1"/>
        <rFont val="Meiryo UI"/>
        <family val="3"/>
        <charset val="128"/>
      </rPr>
      <t>助</t>
    </r>
    <r>
      <rPr>
        <b/>
        <sz val="12"/>
        <color theme="1"/>
        <rFont val="NSimSun"/>
        <family val="3"/>
        <charset val="134"/>
      </rPr>
      <t>资产</t>
    </r>
    <r>
      <rPr>
        <b/>
        <sz val="12"/>
        <color theme="1"/>
        <rFont val="Meiryo UI"/>
        <family val="3"/>
        <charset val="128"/>
      </rPr>
      <t>名称</t>
    </r>
  </si>
  <si>
    <r>
      <t>保管先補助資産
Support asset stored to
支持</t>
    </r>
    <r>
      <rPr>
        <b/>
        <sz val="11"/>
        <color theme="1"/>
        <rFont val="Microsoft JhengHei"/>
        <family val="2"/>
        <charset val="136"/>
      </rPr>
      <t>资产</t>
    </r>
    <r>
      <rPr>
        <b/>
        <sz val="11"/>
        <color theme="1"/>
        <rFont val="Meiryo UI"/>
        <family val="3"/>
        <charset val="128"/>
      </rPr>
      <t>存</t>
    </r>
    <r>
      <rPr>
        <b/>
        <sz val="11"/>
        <color theme="1"/>
        <rFont val="Microsoft JhengHei"/>
        <family val="2"/>
        <charset val="136"/>
      </rPr>
      <t>储</t>
    </r>
    <r>
      <rPr>
        <b/>
        <sz val="11"/>
        <color theme="1"/>
        <rFont val="Meiryo UI"/>
        <family val="3"/>
        <charset val="128"/>
      </rPr>
      <t>到</t>
    </r>
    <phoneticPr fontId="1"/>
  </si>
  <si>
    <t>試作品、紙文書</t>
    <rPh sb="0" eb="3">
      <t>シサクヒン</t>
    </rPh>
    <rPh sb="4" eb="5">
      <t>カミ</t>
    </rPh>
    <rPh sb="5" eb="7">
      <t>ブンショ</t>
    </rPh>
    <phoneticPr fontId="1"/>
  </si>
  <si>
    <t xml:space="preserve">Prototypes, paper documents </t>
    <phoneticPr fontId="1"/>
  </si>
  <si>
    <r>
      <t>媒体 原型、</t>
    </r>
    <r>
      <rPr>
        <b/>
        <sz val="12"/>
        <color theme="1"/>
        <rFont val="NSimSun"/>
        <family val="3"/>
        <charset val="134"/>
      </rPr>
      <t>纸质</t>
    </r>
    <r>
      <rPr>
        <b/>
        <sz val="12"/>
        <color theme="1"/>
        <rFont val="Meiryo UI"/>
        <family val="3"/>
        <charset val="128"/>
      </rPr>
      <t xml:space="preserve">文件 </t>
    </r>
    <phoneticPr fontId="1"/>
  </si>
  <si>
    <t>电子文件</t>
  </si>
  <si>
    <t>入室制限、施錠室内、
移動難の施錠付キャビネット</t>
    <rPh sb="0" eb="2">
      <t>ニュウシツ</t>
    </rPh>
    <rPh sb="2" eb="4">
      <t>セイゲン</t>
    </rPh>
    <rPh sb="5" eb="7">
      <t>セジョウ</t>
    </rPh>
    <rPh sb="7" eb="9">
      <t>シツナイ</t>
    </rPh>
    <phoneticPr fontId="1"/>
  </si>
  <si>
    <t>社内LAN上、プロジェクト制限付き
個人認証エリア</t>
    <rPh sb="5" eb="6">
      <t>ジョウ</t>
    </rPh>
    <rPh sb="13" eb="15">
      <t>セイゲン</t>
    </rPh>
    <rPh sb="15" eb="16">
      <t>ツ</t>
    </rPh>
    <phoneticPr fontId="1"/>
  </si>
  <si>
    <t>Restricted access, in locked room</t>
    <phoneticPr fontId="1"/>
  </si>
  <si>
    <t>On company LAN, with project restrictions 
and personel authentified</t>
    <phoneticPr fontId="1"/>
  </si>
  <si>
    <r>
      <t>限制</t>
    </r>
    <r>
      <rPr>
        <sz val="10"/>
        <color theme="1"/>
        <rFont val="NSimSun"/>
        <family val="3"/>
        <charset val="134"/>
      </rPr>
      <t>访问</t>
    </r>
    <r>
      <rPr>
        <sz val="10"/>
        <color theme="1"/>
        <rFont val="Meiryo UI"/>
        <family val="3"/>
        <charset val="128"/>
      </rPr>
      <t>，在上</t>
    </r>
    <r>
      <rPr>
        <sz val="10"/>
        <color theme="1"/>
        <rFont val="NSimSun"/>
        <family val="3"/>
        <charset val="134"/>
      </rPr>
      <t>锁</t>
    </r>
    <r>
      <rPr>
        <sz val="10"/>
        <color theme="1"/>
        <rFont val="Meiryo UI"/>
        <family val="3"/>
        <charset val="128"/>
      </rPr>
      <t>的房</t>
    </r>
    <r>
      <rPr>
        <sz val="10"/>
        <color theme="1"/>
        <rFont val="NSimSun"/>
        <family val="3"/>
        <charset val="134"/>
      </rPr>
      <t>间</t>
    </r>
    <r>
      <rPr>
        <sz val="10"/>
        <color theme="1"/>
        <rFont val="Meiryo UI"/>
        <family val="3"/>
        <charset val="128"/>
      </rPr>
      <t xml:space="preserve">内 </t>
    </r>
    <phoneticPr fontId="1"/>
  </si>
  <si>
    <t>在公司局域网内，有项目限制。和人员认证</t>
    <phoneticPr fontId="1"/>
  </si>
  <si>
    <t>施錠室内、
施錠付キャビネット</t>
    <rPh sb="0" eb="2">
      <t>セジョウ</t>
    </rPh>
    <rPh sb="2" eb="4">
      <t>シツナイ</t>
    </rPh>
    <phoneticPr fontId="1"/>
  </si>
  <si>
    <t>社内LAN上の組織制限付き
個人認証エリア、貸与PC</t>
    <rPh sb="5" eb="6">
      <t>ジョウ</t>
    </rPh>
    <rPh sb="7" eb="9">
      <t>ソシキ</t>
    </rPh>
    <rPh sb="9" eb="11">
      <t>セイゲン</t>
    </rPh>
    <rPh sb="11" eb="12">
      <t>ツ</t>
    </rPh>
    <rPh sb="22" eb="24">
      <t>タイヨ</t>
    </rPh>
    <phoneticPr fontId="1"/>
  </si>
  <si>
    <t>In locked room.</t>
    <phoneticPr fontId="1"/>
  </si>
  <si>
    <t>On company LAN, with organization restrictions 
and personel authentification, company PC</t>
    <phoneticPr fontId="1"/>
  </si>
  <si>
    <r>
      <t>在上</t>
    </r>
    <r>
      <rPr>
        <sz val="10"/>
        <color theme="1"/>
        <rFont val="NSimSun"/>
        <family val="3"/>
        <charset val="134"/>
      </rPr>
      <t>锁</t>
    </r>
    <r>
      <rPr>
        <sz val="10"/>
        <color theme="1"/>
        <rFont val="Meiryo UI"/>
        <family val="3"/>
        <charset val="128"/>
      </rPr>
      <t>的房</t>
    </r>
    <r>
      <rPr>
        <sz val="10"/>
        <color theme="1"/>
        <rFont val="NSimSun"/>
        <family val="3"/>
        <charset val="134"/>
      </rPr>
      <t>间</t>
    </r>
    <r>
      <rPr>
        <sz val="10"/>
        <color theme="1"/>
        <rFont val="Meiryo UI"/>
        <family val="3"/>
        <charset val="128"/>
      </rPr>
      <t>里。</t>
    </r>
    <phoneticPr fontId="1"/>
  </si>
  <si>
    <r>
      <t>在公司局域网内，有</t>
    </r>
    <r>
      <rPr>
        <sz val="10"/>
        <color theme="1"/>
        <rFont val="NSimSun"/>
        <family val="3"/>
        <charset val="134"/>
      </rPr>
      <t>组织</t>
    </r>
    <r>
      <rPr>
        <sz val="10"/>
        <color theme="1"/>
        <rFont val="Meiryo UI"/>
        <family val="3"/>
        <charset val="128"/>
      </rPr>
      <t>限制  和个人</t>
    </r>
    <r>
      <rPr>
        <sz val="10"/>
        <color theme="1"/>
        <rFont val="Microsoft JhengHei"/>
        <family val="2"/>
        <charset val="136"/>
      </rPr>
      <t>认</t>
    </r>
    <r>
      <rPr>
        <sz val="10"/>
        <color theme="1"/>
        <rFont val="NSimSun"/>
        <family val="3"/>
        <charset val="134"/>
      </rPr>
      <t>证</t>
    </r>
    <r>
      <rPr>
        <sz val="10"/>
        <color theme="1"/>
        <rFont val="Meiryo UI"/>
        <family val="3"/>
        <charset val="128"/>
      </rPr>
      <t>，公司PC</t>
    </r>
    <phoneticPr fontId="1"/>
  </si>
  <si>
    <t>施錠室内、キャビネット</t>
    <rPh sb="0" eb="2">
      <t>セジョウ</t>
    </rPh>
    <rPh sb="2" eb="4">
      <t>シツナイ</t>
    </rPh>
    <phoneticPr fontId="1"/>
  </si>
  <si>
    <t>社内LAN上の個人認証エリア、
貸与PC</t>
    <rPh sb="5" eb="6">
      <t>ジョウ</t>
    </rPh>
    <rPh sb="16" eb="18">
      <t>タイヨ</t>
    </rPh>
    <phoneticPr fontId="1"/>
  </si>
  <si>
    <t>Personal authentication area"</t>
  </si>
  <si>
    <t>On company LAN, with personel authentification, company PC</t>
    <phoneticPr fontId="1"/>
  </si>
  <si>
    <r>
      <t>B 个人</t>
    </r>
    <r>
      <rPr>
        <sz val="10"/>
        <color theme="1"/>
        <rFont val="NSimSun"/>
        <family val="3"/>
        <charset val="134"/>
      </rPr>
      <t>认证</t>
    </r>
    <r>
      <rPr>
        <sz val="10"/>
        <color theme="1"/>
        <rFont val="Meiryo UI"/>
        <family val="3"/>
        <charset val="128"/>
      </rPr>
      <t xml:space="preserve">区 </t>
    </r>
    <phoneticPr fontId="1"/>
  </si>
  <si>
    <t>在公司局域网内，有个人认证，公司PC机。</t>
    <phoneticPr fontId="1"/>
  </si>
  <si>
    <t>オープンスペース</t>
    <phoneticPr fontId="1"/>
  </si>
  <si>
    <t>Open space</t>
    <phoneticPr fontId="1"/>
  </si>
  <si>
    <r>
      <t>C 开放空</t>
    </r>
    <r>
      <rPr>
        <sz val="10"/>
        <rFont val="NSimSun"/>
        <family val="3"/>
        <charset val="134"/>
      </rPr>
      <t>间</t>
    </r>
    <r>
      <rPr>
        <sz val="10"/>
        <rFont val="Meiryo UI"/>
        <family val="3"/>
        <charset val="128"/>
      </rPr>
      <t xml:space="preserve"> </t>
    </r>
    <phoneticPr fontId="1"/>
  </si>
  <si>
    <t>制限有り</t>
    <rPh sb="0" eb="2">
      <t>セイゲン</t>
    </rPh>
    <rPh sb="2" eb="3">
      <t>アリ</t>
    </rPh>
    <phoneticPr fontId="1"/>
  </si>
  <si>
    <t>With restriction</t>
    <phoneticPr fontId="1"/>
  </si>
  <si>
    <r>
      <t>开放空</t>
    </r>
    <r>
      <rPr>
        <sz val="10"/>
        <rFont val="NSimSun"/>
        <family val="3"/>
        <charset val="134"/>
      </rPr>
      <t>间</t>
    </r>
    <r>
      <rPr>
        <sz val="10"/>
        <rFont val="Meiryo UI"/>
        <family val="3"/>
        <charset val="128"/>
      </rPr>
      <t xml:space="preserve"> </t>
    </r>
  </si>
  <si>
    <t>有限制</t>
    <rPh sb="0" eb="1">
      <t>ア</t>
    </rPh>
    <rPh sb="2" eb="3">
      <t>セイ</t>
    </rPh>
    <phoneticPr fontId="1"/>
  </si>
  <si>
    <t>システム運用組織
 IT Operations Organization
 IT运维组织</t>
    <phoneticPr fontId="1"/>
  </si>
  <si>
    <t>補助資産などの運用主管組織</t>
    <rPh sb="0" eb="4">
      <t>ホジョシサン</t>
    </rPh>
    <rPh sb="7" eb="9">
      <t>ウンヨウ</t>
    </rPh>
    <rPh sb="9" eb="11">
      <t>シュカン</t>
    </rPh>
    <rPh sb="11" eb="13">
      <t>ソシキ</t>
    </rPh>
    <phoneticPr fontId="1"/>
  </si>
  <si>
    <t>その他の
顧客要件・法的要件
Other Customer requirement, 
Regulation/Laws requirement
其他客户要求。_x000D_
条例/法律要求</t>
  </si>
  <si>
    <t>暗号化やライフサイクル対応等の要求
（処理・使用、転送・送信、保存・保管、削除、廃棄時）
・顧客情報である情報資産を顧客名単位で記載(I37 列）
　※顧客はそのグループ会社を含む。該当しない場合OTHERSと記載
・技術情報である情報資産を種別で記載。
　※ALAP管理機能子会社は『種別』記載不要。　
・個人情報である情報資産を記載。
　個人情報（ALAPグループ内）個人情報（それ以外）個人情報（両方）</t>
    <rPh sb="58" eb="60">
      <t>コキャク</t>
    </rPh>
    <rPh sb="71" eb="72">
      <t>レツ</t>
    </rPh>
    <rPh sb="121" eb="123">
      <t>シュベツ</t>
    </rPh>
    <rPh sb="124" eb="126">
      <t>キサイ</t>
    </rPh>
    <rPh sb="166" eb="168">
      <t>キサイ</t>
    </rPh>
    <phoneticPr fontId="1"/>
  </si>
  <si>
    <r>
      <t>Requirements for encryption, lifecycle support, etc.
(during processing/use, transfer/transmission, storage deletion, disposal)
Information assets that are customer information are described by customer name.</t>
    </r>
    <r>
      <rPr>
        <b/>
        <sz val="12"/>
        <rFont val="ＭＳ Ｐゴシック"/>
        <family val="2"/>
        <charset val="128"/>
      </rPr>
      <t>（</t>
    </r>
    <r>
      <rPr>
        <b/>
        <sz val="12"/>
        <rFont val="Arial"/>
        <family val="2"/>
      </rPr>
      <t>I37</t>
    </r>
    <r>
      <rPr>
        <b/>
        <sz val="12"/>
        <rFont val="ＭＳ Ｐゴシック"/>
        <family val="2"/>
        <charset val="128"/>
      </rPr>
      <t>Line）</t>
    </r>
    <r>
      <rPr>
        <b/>
        <sz val="12"/>
        <rFont val="Arial"/>
        <family val="2"/>
      </rPr>
      <t xml:space="preserve">
</t>
    </r>
    <r>
      <rPr>
        <b/>
        <sz val="12"/>
        <rFont val="Meiryo UI"/>
        <family val="2"/>
        <charset val="128"/>
      </rPr>
      <t>　</t>
    </r>
    <r>
      <rPr>
        <b/>
        <sz val="12"/>
        <rFont val="Arial"/>
        <family val="2"/>
      </rPr>
      <t xml:space="preserve">Customers include their group companies. If not applicable, enter "OTHERS.
Information assets that are technical information are listed by type.
</t>
    </r>
    <r>
      <rPr>
        <b/>
        <sz val="12"/>
        <rFont val="Meiryo UI"/>
        <family val="2"/>
        <charset val="128"/>
      </rPr>
      <t>　</t>
    </r>
    <r>
      <rPr>
        <b/>
        <sz val="12"/>
        <rFont val="Arial"/>
        <family val="2"/>
      </rPr>
      <t xml:space="preserve">Information assets that are technical information are listed by type.
Information assets that are personal information are described.
</t>
    </r>
    <r>
      <rPr>
        <b/>
        <sz val="12"/>
        <rFont val="Meiryo UI"/>
        <family val="2"/>
        <charset val="128"/>
      </rPr>
      <t>　</t>
    </r>
    <r>
      <rPr>
        <b/>
        <sz val="12"/>
        <rFont val="Arial"/>
        <family val="2"/>
      </rPr>
      <t>Personal information (within ALAP group) Personal information (other) Personal information (both)</t>
    </r>
    <phoneticPr fontId="1"/>
  </si>
  <si>
    <r>
      <t>加密、生命周期支持等方面的要求。(在</t>
    </r>
    <r>
      <rPr>
        <b/>
        <sz val="12"/>
        <rFont val="Microsoft JhengHei"/>
        <family val="2"/>
        <charset val="136"/>
      </rPr>
      <t>处</t>
    </r>
    <r>
      <rPr>
        <b/>
        <sz val="12"/>
        <rFont val="Meiryo UI"/>
        <family val="3"/>
        <charset val="128"/>
      </rPr>
      <t>理/使用、</t>
    </r>
    <r>
      <rPr>
        <b/>
        <sz val="12"/>
        <rFont val="Microsoft JhengHei"/>
        <family val="2"/>
        <charset val="136"/>
      </rPr>
      <t>转</t>
    </r>
    <r>
      <rPr>
        <b/>
        <sz val="12"/>
        <rFont val="Meiryo UI"/>
        <family val="3"/>
        <charset val="128"/>
      </rPr>
      <t>移/</t>
    </r>
    <r>
      <rPr>
        <b/>
        <sz val="12"/>
        <rFont val="Microsoft JhengHei"/>
        <family val="2"/>
        <charset val="136"/>
      </rPr>
      <t>传输</t>
    </r>
    <r>
      <rPr>
        <b/>
        <sz val="12"/>
        <rFont val="Meiryo UI"/>
        <family val="3"/>
        <charset val="128"/>
      </rPr>
      <t>、存</t>
    </r>
    <r>
      <rPr>
        <b/>
        <sz val="12"/>
        <rFont val="Microsoft JhengHei"/>
        <family val="2"/>
        <charset val="136"/>
      </rPr>
      <t>储删</t>
    </r>
    <r>
      <rPr>
        <b/>
        <sz val="12"/>
        <rFont val="Meiryo UI"/>
        <family val="3"/>
        <charset val="128"/>
      </rPr>
      <t>除、</t>
    </r>
    <r>
      <rPr>
        <b/>
        <sz val="12"/>
        <rFont val="Microsoft JhengHei"/>
        <family val="2"/>
        <charset val="136"/>
      </rPr>
      <t>处</t>
    </r>
    <r>
      <rPr>
        <b/>
        <sz val="12"/>
        <rFont val="Meiryo UI"/>
        <family val="3"/>
        <charset val="128"/>
      </rPr>
      <t>置期</t>
    </r>
    <r>
      <rPr>
        <b/>
        <sz val="12"/>
        <rFont val="Microsoft JhengHei"/>
        <family val="2"/>
        <charset val="136"/>
      </rPr>
      <t>间</t>
    </r>
    <r>
      <rPr>
        <b/>
        <sz val="12"/>
        <rFont val="Meiryo UI"/>
        <family val="3"/>
        <charset val="128"/>
      </rPr>
      <t xml:space="preserve">)
</t>
    </r>
    <r>
      <rPr>
        <b/>
        <sz val="12"/>
        <rFont val="Microsoft YaHei"/>
        <family val="3"/>
        <charset val="134"/>
      </rPr>
      <t>信息资产是客户信息，以客户名称为单位进行描述。（I37 列）
客户包括其集团公司。如果不适用，则列为其他。
属于技术信息的信息资产按类型列出。
属于技术信息的信息资产按类型列出。
属于个人信息的信息资产按类型列出。
　个人信息（ALAP 集团内部） 个人信息（其他） 个人信息（两者均有）</t>
    </r>
    <phoneticPr fontId="1"/>
  </si>
  <si>
    <t>機密性
Confidentiality
保密性</t>
  </si>
  <si>
    <t>対象データやシステムにアクセスできるレベル</t>
    <rPh sb="0" eb="2">
      <t>タイショウ</t>
    </rPh>
    <phoneticPr fontId="1"/>
  </si>
  <si>
    <t>TISAXの対応</t>
    <rPh sb="6" eb="8">
      <t>タイオウ</t>
    </rPh>
    <phoneticPr fontId="1"/>
  </si>
  <si>
    <t>Access level to target data and systems</t>
    <phoneticPr fontId="1"/>
  </si>
  <si>
    <t xml:space="preserve"> TISAX support</t>
  </si>
  <si>
    <r>
      <t>对</t>
    </r>
    <r>
      <rPr>
        <b/>
        <sz val="12"/>
        <rFont val="Meiryo UI"/>
        <family val="3"/>
        <charset val="128"/>
      </rPr>
      <t>目</t>
    </r>
    <r>
      <rPr>
        <b/>
        <sz val="12"/>
        <rFont val="NSimSun"/>
        <family val="3"/>
        <charset val="134"/>
      </rPr>
      <t>标</t>
    </r>
    <r>
      <rPr>
        <b/>
        <sz val="12"/>
        <rFont val="Meiryo UI"/>
        <family val="3"/>
        <charset val="128"/>
      </rPr>
      <t>数据和系</t>
    </r>
    <r>
      <rPr>
        <b/>
        <sz val="12"/>
        <rFont val="NSimSun"/>
        <family val="3"/>
        <charset val="134"/>
      </rPr>
      <t>统</t>
    </r>
    <r>
      <rPr>
        <b/>
        <sz val="12"/>
        <rFont val="Meiryo UI"/>
        <family val="3"/>
        <charset val="128"/>
      </rPr>
      <t>的</t>
    </r>
    <r>
      <rPr>
        <b/>
        <sz val="12"/>
        <rFont val="NSimSun"/>
        <family val="3"/>
        <charset val="134"/>
      </rPr>
      <t>访问级别</t>
    </r>
    <r>
      <rPr>
        <b/>
        <sz val="12"/>
        <rFont val="Meiryo UI"/>
        <family val="3"/>
        <charset val="128"/>
      </rPr>
      <t xml:space="preserve"> </t>
    </r>
    <phoneticPr fontId="1"/>
  </si>
  <si>
    <t>TISAX支持</t>
    <phoneticPr fontId="1"/>
  </si>
  <si>
    <t>極秘　：機密性が高く、漏えいにより刑事罰を含む極めて重大な影響や当社の重大な経営損失をもたらす情報
　　　例：インサイダー情報、M&amp;A情報、内部通報制度に基づく情報、顧客から特別に保護を求められた情報など</t>
    <rPh sb="0" eb="2">
      <t>ゴクヒ</t>
    </rPh>
    <rPh sb="4" eb="7">
      <t>キミツセイ</t>
    </rPh>
    <rPh sb="8" eb="9">
      <t>タカ</t>
    </rPh>
    <rPh sb="11" eb="12">
      <t>ロウ</t>
    </rPh>
    <rPh sb="17" eb="20">
      <t>ケイジバツ</t>
    </rPh>
    <rPh sb="21" eb="22">
      <t>フク</t>
    </rPh>
    <rPh sb="23" eb="24">
      <t>キワ</t>
    </rPh>
    <rPh sb="26" eb="28">
      <t>ジュウダイ</t>
    </rPh>
    <rPh sb="29" eb="31">
      <t>エイキョウ</t>
    </rPh>
    <rPh sb="32" eb="34">
      <t>トウシャ</t>
    </rPh>
    <rPh sb="35" eb="37">
      <t>ジュウダイ</t>
    </rPh>
    <rPh sb="38" eb="40">
      <t>ケイエイ</t>
    </rPh>
    <rPh sb="40" eb="42">
      <t>ソンシツ</t>
    </rPh>
    <rPh sb="47" eb="49">
      <t>ジョウホウ</t>
    </rPh>
    <rPh sb="60" eb="62">
      <t>ジョウホウ</t>
    </rPh>
    <rPh sb="66" eb="68">
      <t>ジョウホウ</t>
    </rPh>
    <rPh sb="69" eb="71">
      <t>ナイブ</t>
    </rPh>
    <rPh sb="71" eb="73">
      <t>ツウホウ</t>
    </rPh>
    <rPh sb="73" eb="75">
      <t>セイド</t>
    </rPh>
    <rPh sb="76" eb="77">
      <t>モト</t>
    </rPh>
    <rPh sb="79" eb="81">
      <t>ジョウホウ</t>
    </rPh>
    <rPh sb="86" eb="88">
      <t>トクベツ</t>
    </rPh>
    <rPh sb="89" eb="91">
      <t>ホゴ</t>
    </rPh>
    <rPh sb="92" eb="93">
      <t>モト</t>
    </rPh>
    <rPh sb="97" eb="99">
      <t>ジョウホウ</t>
    </rPh>
    <phoneticPr fontId="1"/>
  </si>
  <si>
    <t>←Very High</t>
    <phoneticPr fontId="1"/>
  </si>
  <si>
    <t>Strict Confidential: Highly confidential, the leakage of which would have extremely serious consequences, including criminal penalties, or Information that is highly confidential and the leakage of which could result in extremely serious consequences, including criminal penalties, or serious business losses for the Company.
(e.g., insider information, M&amp;A information, information based on whistle-blowing system, Information for which protection is specifically requested by customers, etc.)</t>
    <phoneticPr fontId="1"/>
  </si>
  <si>
    <r>
      <t xml:space="preserve"> </t>
    </r>
    <r>
      <rPr>
        <sz val="10"/>
        <color theme="1"/>
        <rFont val="Meiryo UI"/>
        <family val="3"/>
        <charset val="128"/>
      </rPr>
      <t>←</t>
    </r>
    <r>
      <rPr>
        <sz val="10"/>
        <color theme="1"/>
        <rFont val="Arial"/>
        <family val="2"/>
      </rPr>
      <t xml:space="preserve"> Very High</t>
    </r>
    <phoneticPr fontId="1"/>
  </si>
  <si>
    <r>
      <rPr>
        <sz val="10"/>
        <rFont val="NSimSun"/>
        <family val="3"/>
        <charset val="134"/>
      </rPr>
      <t>严</t>
    </r>
    <r>
      <rPr>
        <sz val="10"/>
        <rFont val="Meiryo UI"/>
        <family val="3"/>
        <charset val="128"/>
      </rPr>
      <t>格保密：高度保密，泄露会造成刑事</t>
    </r>
    <r>
      <rPr>
        <sz val="10"/>
        <rFont val="NSimSun"/>
        <family val="3"/>
        <charset val="134"/>
      </rPr>
      <t>处罚</t>
    </r>
    <r>
      <rPr>
        <sz val="10"/>
        <rFont val="Meiryo UI"/>
        <family val="3"/>
        <charset val="128"/>
      </rPr>
      <t>等极其</t>
    </r>
    <r>
      <rPr>
        <sz val="10"/>
        <rFont val="NSimSun"/>
        <family val="3"/>
        <charset val="134"/>
      </rPr>
      <t>严</t>
    </r>
    <r>
      <rPr>
        <sz val="10"/>
        <rFont val="Meiryo UI"/>
        <family val="3"/>
        <charset val="128"/>
      </rPr>
      <t>重后果的信息，或属于高度保密，泄露会造成刑事</t>
    </r>
    <r>
      <rPr>
        <sz val="10"/>
        <rFont val="NSimSun"/>
        <family val="3"/>
        <charset val="134"/>
      </rPr>
      <t>处罚</t>
    </r>
    <r>
      <rPr>
        <sz val="10"/>
        <rFont val="Meiryo UI"/>
        <family val="3"/>
        <charset val="128"/>
      </rPr>
      <t>等极其</t>
    </r>
    <r>
      <rPr>
        <sz val="10"/>
        <rFont val="NSimSun"/>
        <family val="3"/>
        <charset val="134"/>
      </rPr>
      <t>严</t>
    </r>
    <r>
      <rPr>
        <sz val="10"/>
        <rFont val="Meiryo UI"/>
        <family val="3"/>
        <charset val="128"/>
      </rPr>
      <t>重后果或</t>
    </r>
    <r>
      <rPr>
        <sz val="10"/>
        <rFont val="NSimSun"/>
        <family val="3"/>
        <charset val="134"/>
      </rPr>
      <t>给</t>
    </r>
    <r>
      <rPr>
        <sz val="10"/>
        <rFont val="Meiryo UI"/>
        <family val="3"/>
        <charset val="128"/>
      </rPr>
      <t>公司</t>
    </r>
    <r>
      <rPr>
        <sz val="10"/>
        <rFont val="NSimSun"/>
        <family val="3"/>
        <charset val="134"/>
      </rPr>
      <t>带</t>
    </r>
    <r>
      <rPr>
        <sz val="10"/>
        <rFont val="Meiryo UI"/>
        <family val="3"/>
        <charset val="128"/>
      </rPr>
      <t>来</t>
    </r>
    <r>
      <rPr>
        <sz val="10"/>
        <rFont val="NSimSun"/>
        <family val="3"/>
        <charset val="134"/>
      </rPr>
      <t>严</t>
    </r>
    <r>
      <rPr>
        <sz val="10"/>
        <rFont val="Meiryo UI"/>
        <family val="3"/>
        <charset val="128"/>
      </rPr>
      <t>重</t>
    </r>
    <r>
      <rPr>
        <sz val="10"/>
        <rFont val="NSimSun"/>
        <family val="3"/>
        <charset val="134"/>
      </rPr>
      <t>经营损</t>
    </r>
    <r>
      <rPr>
        <sz val="10"/>
        <rFont val="Meiryo UI"/>
        <family val="3"/>
        <charset val="128"/>
      </rPr>
      <t>失的信息。
例如，内幕信息、并</t>
    </r>
    <r>
      <rPr>
        <sz val="10"/>
        <rFont val="NSimSun"/>
        <family val="3"/>
        <charset val="134"/>
      </rPr>
      <t>购</t>
    </r>
    <r>
      <rPr>
        <sz val="10"/>
        <rFont val="Meiryo UI"/>
        <family val="3"/>
        <charset val="128"/>
      </rPr>
      <t>信息、基于</t>
    </r>
    <r>
      <rPr>
        <sz val="10"/>
        <rFont val="NSimSun"/>
        <family val="3"/>
        <charset val="134"/>
      </rPr>
      <t>举报</t>
    </r>
    <r>
      <rPr>
        <sz val="10"/>
        <rFont val="Meiryo UI"/>
        <family val="3"/>
        <charset val="128"/>
      </rPr>
      <t>制度的信息、客</t>
    </r>
    <r>
      <rPr>
        <sz val="10"/>
        <rFont val="NSimSun"/>
        <family val="3"/>
        <charset val="134"/>
      </rPr>
      <t>户</t>
    </r>
    <r>
      <rPr>
        <sz val="10"/>
        <rFont val="Meiryo UI"/>
        <family val="3"/>
        <charset val="128"/>
      </rPr>
      <t>特</t>
    </r>
    <r>
      <rPr>
        <sz val="10"/>
        <rFont val="NSimSun"/>
        <family val="3"/>
        <charset val="134"/>
      </rPr>
      <t>别</t>
    </r>
    <r>
      <rPr>
        <sz val="10"/>
        <rFont val="Meiryo UI"/>
        <family val="3"/>
        <charset val="128"/>
      </rPr>
      <t>要求保</t>
    </r>
    <r>
      <rPr>
        <sz val="10"/>
        <rFont val="NSimSun"/>
        <family val="3"/>
        <charset val="134"/>
      </rPr>
      <t>护</t>
    </r>
    <r>
      <rPr>
        <sz val="10"/>
        <rFont val="Meiryo UI"/>
        <family val="3"/>
        <charset val="128"/>
      </rPr>
      <t>的信息等）。</t>
    </r>
    <phoneticPr fontId="1"/>
  </si>
  <si>
    <t>秘　　：機密性が高く、漏えいにより知財の損失、中長期的な競争力の損失、または他社との契約違反に繋がる情報。
　　　例：企業戦略関連情報、個人情報、アライアンス相手からお預かりした情報、法規制の違反に繋がる情報、顧客から保護を求められた情報など</t>
    <phoneticPr fontId="1"/>
  </si>
  <si>
    <t>←High</t>
    <phoneticPr fontId="1"/>
  </si>
  <si>
    <t>Confidential: Information that is highly confidential and the leakage of which could result in loss of intellectual property, loss of medium- to long-term competitiveness, or loss of contracts with other companies.
For example, information related to corporate strategy, personal information, information entrusted by alliance partners, information required by laws and regulations, and information requested by customers for protection.</t>
    <phoneticPr fontId="1"/>
  </si>
  <si>
    <r>
      <t xml:space="preserve"> </t>
    </r>
    <r>
      <rPr>
        <sz val="10"/>
        <color theme="1"/>
        <rFont val="Meiryo UI"/>
        <family val="3"/>
        <charset val="128"/>
      </rPr>
      <t>←</t>
    </r>
    <r>
      <rPr>
        <sz val="10"/>
        <color theme="1"/>
        <rFont val="Arial"/>
        <family val="2"/>
      </rPr>
      <t xml:space="preserve"> High</t>
    </r>
    <phoneticPr fontId="1"/>
  </si>
  <si>
    <r>
      <rPr>
        <sz val="10"/>
        <color theme="1"/>
        <rFont val="Microsoft YaHei"/>
        <family val="3"/>
        <charset val="134"/>
      </rPr>
      <t>机密。高度机密的信息，如果泄露，可能导致知识产权的损失、中长期竞争力的丧失或与其他公司的合同丧失。</t>
    </r>
    <r>
      <rPr>
        <sz val="10"/>
        <rFont val="Meiryo UI"/>
        <family val="3"/>
        <charset val="128"/>
      </rPr>
      <t xml:space="preserve">
例如，与企</t>
    </r>
    <r>
      <rPr>
        <sz val="10"/>
        <rFont val="NSimSun"/>
        <family val="3"/>
        <charset val="134"/>
      </rPr>
      <t>业战</t>
    </r>
    <r>
      <rPr>
        <sz val="10"/>
        <rFont val="Meiryo UI"/>
        <family val="3"/>
        <charset val="128"/>
      </rPr>
      <t>略有关的信息、个人信息、</t>
    </r>
    <r>
      <rPr>
        <sz val="10"/>
        <rFont val="NSimSun"/>
        <family val="3"/>
        <charset val="134"/>
      </rPr>
      <t>联</t>
    </r>
    <r>
      <rPr>
        <sz val="10"/>
        <rFont val="Meiryo UI"/>
        <family val="3"/>
        <charset val="128"/>
      </rPr>
      <t>盟伙伴委托的信息、法律法</t>
    </r>
    <r>
      <rPr>
        <sz val="10"/>
        <rFont val="NSimSun"/>
        <family val="3"/>
        <charset val="134"/>
      </rPr>
      <t>规</t>
    </r>
    <r>
      <rPr>
        <sz val="10"/>
        <rFont val="Meiryo UI"/>
        <family val="3"/>
        <charset val="128"/>
      </rPr>
      <t>要求的信息、客</t>
    </r>
    <r>
      <rPr>
        <sz val="10"/>
        <rFont val="NSimSun"/>
        <family val="3"/>
        <charset val="134"/>
      </rPr>
      <t>户</t>
    </r>
    <r>
      <rPr>
        <sz val="10"/>
        <rFont val="Meiryo UI"/>
        <family val="3"/>
        <charset val="128"/>
      </rPr>
      <t>要求保</t>
    </r>
    <r>
      <rPr>
        <sz val="10"/>
        <rFont val="NSimSun"/>
        <family val="3"/>
        <charset val="134"/>
      </rPr>
      <t>护</t>
    </r>
    <r>
      <rPr>
        <sz val="10"/>
        <rFont val="Meiryo UI"/>
        <family val="3"/>
        <charset val="128"/>
      </rPr>
      <t>的信息等。"</t>
    </r>
    <phoneticPr fontId="1"/>
  </si>
  <si>
    <t>社外秘：機密性が高く、漏えいにより当社の損失に繋がる情報。
　　　例：一般的な製品開発業務に関連する情報全般、
　　　　　会社の組織構造や人員構成などの組織情報など</t>
    <rPh sb="0" eb="3">
      <t>シャガイヒ</t>
    </rPh>
    <rPh sb="60" eb="62">
      <t>カイシャ</t>
    </rPh>
    <rPh sb="63" eb="67">
      <t>ソシキコウゾウ</t>
    </rPh>
    <rPh sb="68" eb="70">
      <t>ジンイン</t>
    </rPh>
    <rPh sb="70" eb="72">
      <t>コウセイ</t>
    </rPh>
    <rPh sb="75" eb="77">
      <t>ソシキ</t>
    </rPh>
    <rPh sb="77" eb="79">
      <t>ジョウホウ</t>
    </rPh>
    <phoneticPr fontId="1"/>
  </si>
  <si>
    <t>←Normal</t>
    <phoneticPr fontId="1"/>
  </si>
  <si>
    <t>Confidential: Information that is highly confidential and the leakage of which could result in a loss to the Company.
Example: Information related to general product development work in general, information related to Organizational information such as the company's organizational structure and personnel composition, etc."</t>
    <phoneticPr fontId="1"/>
  </si>
  <si>
    <r>
      <rPr>
        <sz val="10"/>
        <color theme="1"/>
        <rFont val="Meiryo UI"/>
        <family val="3"/>
        <charset val="128"/>
      </rPr>
      <t>←</t>
    </r>
    <r>
      <rPr>
        <sz val="10"/>
        <color theme="1"/>
        <rFont val="Arial"/>
        <family val="2"/>
      </rPr>
      <t>Normal</t>
    </r>
    <phoneticPr fontId="1"/>
  </si>
  <si>
    <r>
      <rPr>
        <sz val="10"/>
        <color theme="1"/>
        <rFont val="Microsoft YaHei"/>
        <family val="3"/>
        <charset val="134"/>
      </rPr>
      <t>机密。指高度机密的信息，如果泄露会给公司造成损失的信息。</t>
    </r>
    <r>
      <rPr>
        <sz val="10"/>
        <color theme="1"/>
        <rFont val="Meiryo UI"/>
        <family val="3"/>
        <charset val="128"/>
      </rPr>
      <t xml:space="preserve">
例如："机密信息"：指与一般</t>
    </r>
    <r>
      <rPr>
        <sz val="10"/>
        <color theme="1"/>
        <rFont val="NSimSun"/>
        <family val="3"/>
        <charset val="134"/>
      </rPr>
      <t>产</t>
    </r>
    <r>
      <rPr>
        <sz val="10"/>
        <color theme="1"/>
        <rFont val="Meiryo UI"/>
        <family val="3"/>
        <charset val="128"/>
      </rPr>
      <t>品开</t>
    </r>
    <r>
      <rPr>
        <sz val="10"/>
        <color theme="1"/>
        <rFont val="NSimSun"/>
        <family val="3"/>
        <charset val="134"/>
      </rPr>
      <t>发</t>
    </r>
    <r>
      <rPr>
        <sz val="10"/>
        <color theme="1"/>
        <rFont val="Meiryo UI"/>
        <family val="3"/>
        <charset val="128"/>
      </rPr>
      <t>工作有关的信息。与一般</t>
    </r>
    <r>
      <rPr>
        <sz val="10"/>
        <color theme="1"/>
        <rFont val="NSimSun"/>
        <family val="3"/>
        <charset val="134"/>
      </rPr>
      <t>产</t>
    </r>
    <r>
      <rPr>
        <sz val="10"/>
        <color theme="1"/>
        <rFont val="Meiryo UI"/>
        <family val="3"/>
        <charset val="128"/>
      </rPr>
      <t>品开</t>
    </r>
    <r>
      <rPr>
        <sz val="10"/>
        <color theme="1"/>
        <rFont val="NSimSun"/>
        <family val="3"/>
        <charset val="134"/>
      </rPr>
      <t>发</t>
    </r>
    <r>
      <rPr>
        <sz val="10"/>
        <color theme="1"/>
        <rFont val="Meiryo UI"/>
        <family val="3"/>
        <charset val="128"/>
      </rPr>
      <t>工作有关的信息，与公司的</t>
    </r>
    <r>
      <rPr>
        <sz val="10"/>
        <color theme="1"/>
        <rFont val="NSimSun"/>
        <family val="3"/>
        <charset val="134"/>
      </rPr>
      <t>组织结</t>
    </r>
    <r>
      <rPr>
        <sz val="10"/>
        <color theme="1"/>
        <rFont val="Meiryo UI"/>
        <family val="3"/>
        <charset val="128"/>
      </rPr>
      <t>构、人</t>
    </r>
    <r>
      <rPr>
        <sz val="10"/>
        <color theme="1"/>
        <rFont val="NSimSun"/>
        <family val="3"/>
        <charset val="134"/>
      </rPr>
      <t>员</t>
    </r>
    <r>
      <rPr>
        <sz val="10"/>
        <color theme="1"/>
        <rFont val="Meiryo UI"/>
        <family val="3"/>
        <charset val="128"/>
      </rPr>
      <t>构成等</t>
    </r>
    <r>
      <rPr>
        <sz val="10"/>
        <color theme="1"/>
        <rFont val="NSimSun"/>
        <family val="3"/>
        <charset val="134"/>
      </rPr>
      <t>组织</t>
    </r>
    <r>
      <rPr>
        <sz val="10"/>
        <color theme="1"/>
        <rFont val="Meiryo UI"/>
        <family val="3"/>
        <charset val="128"/>
      </rPr>
      <t>信息有关的信息""</t>
    </r>
    <phoneticPr fontId="1"/>
  </si>
  <si>
    <t>機密性なし：機密性はなく漏えいの影響は無いか軽微であるが、社外への開示は管理する必要がある情報
　　　　　例：上記に該当しない全社通達/全社広報などの情報</t>
    <rPh sb="0" eb="3">
      <t>キミツセイ</t>
    </rPh>
    <rPh sb="6" eb="9">
      <t>キミツセイ</t>
    </rPh>
    <rPh sb="12" eb="13">
      <t>ロウ</t>
    </rPh>
    <rPh sb="16" eb="18">
      <t>エイキョウ</t>
    </rPh>
    <rPh sb="19" eb="20">
      <t>ナ</t>
    </rPh>
    <rPh sb="22" eb="24">
      <t>ケイビ</t>
    </rPh>
    <rPh sb="29" eb="31">
      <t>シャガイ</t>
    </rPh>
    <rPh sb="33" eb="35">
      <t>カイジ</t>
    </rPh>
    <rPh sb="36" eb="38">
      <t>カンリ</t>
    </rPh>
    <rPh sb="40" eb="42">
      <t>ヒツヨウ</t>
    </rPh>
    <rPh sb="45" eb="47">
      <t>ジョウホウ</t>
    </rPh>
    <rPh sb="53" eb="54">
      <t>レイ</t>
    </rPh>
    <rPh sb="55" eb="57">
      <t>ジョウキ</t>
    </rPh>
    <rPh sb="58" eb="60">
      <t>ガイトウ</t>
    </rPh>
    <rPh sb="63" eb="65">
      <t>ゼンシャ</t>
    </rPh>
    <rPh sb="65" eb="67">
      <t>ツウタツ</t>
    </rPh>
    <rPh sb="68" eb="70">
      <t>ゼンシャ</t>
    </rPh>
    <rPh sb="70" eb="72">
      <t>コウホウ</t>
    </rPh>
    <rPh sb="75" eb="77">
      <t>ジョウホウ</t>
    </rPh>
    <phoneticPr fontId="1"/>
  </si>
  <si>
    <t>ー</t>
    <phoneticPr fontId="1"/>
  </si>
  <si>
    <t xml:space="preserve">Non-confidential: Information that is not confidential and the impact of a leak would be minimal or non-existent.However, it is necessary to control the disclosure of such information outside the company.
(e.g., company-wide notices/company-wide publicity and other information that does not fall under the above). </t>
    <phoneticPr fontId="1"/>
  </si>
  <si>
    <r>
      <t>1 "非机密性。不属于机密的信息，泄露的影响很小或不存在，但有必要控制</t>
    </r>
    <r>
      <rPr>
        <sz val="10"/>
        <color theme="1"/>
        <rFont val="NSimSun"/>
        <family val="3"/>
        <charset val="134"/>
      </rPr>
      <t>这</t>
    </r>
    <r>
      <rPr>
        <sz val="10"/>
        <color theme="1"/>
        <rFont val="Meiryo UI"/>
        <family val="3"/>
        <charset val="128"/>
      </rPr>
      <t>些信息在公司外部的披露。
例如，全公司范</t>
    </r>
    <r>
      <rPr>
        <sz val="10"/>
        <color theme="1"/>
        <rFont val="NSimSun"/>
        <family val="3"/>
        <charset val="134"/>
      </rPr>
      <t>围</t>
    </r>
    <r>
      <rPr>
        <sz val="10"/>
        <color theme="1"/>
        <rFont val="Meiryo UI"/>
        <family val="3"/>
        <charset val="128"/>
      </rPr>
      <t>内的通知/全公司范</t>
    </r>
    <r>
      <rPr>
        <sz val="10"/>
        <color theme="1"/>
        <rFont val="NSimSun"/>
        <family val="3"/>
        <charset val="134"/>
      </rPr>
      <t>围</t>
    </r>
    <r>
      <rPr>
        <sz val="10"/>
        <color theme="1"/>
        <rFont val="Meiryo UI"/>
        <family val="3"/>
        <charset val="128"/>
      </rPr>
      <t>内的宣</t>
    </r>
    <r>
      <rPr>
        <sz val="10"/>
        <color theme="1"/>
        <rFont val="NSimSun"/>
        <family val="3"/>
        <charset val="134"/>
      </rPr>
      <t>传</t>
    </r>
    <r>
      <rPr>
        <sz val="10"/>
        <color theme="1"/>
        <rFont val="Meiryo UI"/>
        <family val="3"/>
        <charset val="128"/>
      </rPr>
      <t>以及其他不属于上述范</t>
    </r>
    <r>
      <rPr>
        <sz val="10"/>
        <color theme="1"/>
        <rFont val="NSimSun"/>
        <family val="3"/>
        <charset val="134"/>
      </rPr>
      <t>围</t>
    </r>
    <r>
      <rPr>
        <sz val="10"/>
        <color theme="1"/>
        <rFont val="Meiryo UI"/>
        <family val="3"/>
        <charset val="128"/>
      </rPr>
      <t>的信息）。"</t>
    </r>
    <phoneticPr fontId="1"/>
  </si>
  <si>
    <t>完全性
Integrity
诚信</t>
  </si>
  <si>
    <t>最新かつ正しい状態で維持することを求めるレベル</t>
    <rPh sb="0" eb="2">
      <t>サイシン</t>
    </rPh>
    <rPh sb="4" eb="5">
      <t>タダ</t>
    </rPh>
    <rPh sb="7" eb="9">
      <t>ジョウタイ</t>
    </rPh>
    <rPh sb="10" eb="12">
      <t>イジ</t>
    </rPh>
    <rPh sb="17" eb="18">
      <t>モト</t>
    </rPh>
    <phoneticPr fontId="1"/>
  </si>
  <si>
    <t>Level that requires information to be kept current and correct.</t>
    <phoneticPr fontId="1"/>
  </si>
  <si>
    <r>
      <t>级，要求信息必</t>
    </r>
    <r>
      <rPr>
        <b/>
        <sz val="12"/>
        <color theme="1"/>
        <rFont val="NSimSun"/>
        <family val="3"/>
        <charset val="134"/>
      </rPr>
      <t>须</t>
    </r>
    <r>
      <rPr>
        <b/>
        <sz val="12"/>
        <color theme="1"/>
        <rFont val="Meiryo UI"/>
        <family val="3"/>
        <charset val="128"/>
      </rPr>
      <t>保持最新和正确。</t>
    </r>
  </si>
  <si>
    <t>完全性の要求が極めて高く、情報の発行・修正・廃止が業務プロセスと職務分掌により厳密に管理される必要がある。
　　例：金商法(SOX/J-SOX)による全社統制の対象となる情報</t>
    <rPh sb="0" eb="3">
      <t>カンゼンセイ</t>
    </rPh>
    <rPh sb="4" eb="6">
      <t>ヨウキュウ</t>
    </rPh>
    <rPh sb="7" eb="8">
      <t>キワ</t>
    </rPh>
    <rPh sb="10" eb="11">
      <t>タカ</t>
    </rPh>
    <rPh sb="13" eb="15">
      <t>ジョウホウ</t>
    </rPh>
    <rPh sb="16" eb="18">
      <t>ハッコウ</t>
    </rPh>
    <rPh sb="19" eb="21">
      <t>シュウセイ</t>
    </rPh>
    <rPh sb="22" eb="24">
      <t>ハイシ</t>
    </rPh>
    <rPh sb="25" eb="27">
      <t>ギョウム</t>
    </rPh>
    <rPh sb="32" eb="34">
      <t>ショクム</t>
    </rPh>
    <rPh sb="34" eb="36">
      <t>ブンショウ</t>
    </rPh>
    <rPh sb="39" eb="41">
      <t>ゲンミツ</t>
    </rPh>
    <rPh sb="42" eb="44">
      <t>カンリ</t>
    </rPh>
    <rPh sb="47" eb="49">
      <t>ヒツヨウ</t>
    </rPh>
    <rPh sb="56" eb="57">
      <t>レイ</t>
    </rPh>
    <rPh sb="58" eb="61">
      <t>キンショウホウ</t>
    </rPh>
    <rPh sb="75" eb="77">
      <t>ゼンシャ</t>
    </rPh>
    <rPh sb="77" eb="79">
      <t>トウセイ</t>
    </rPh>
    <rPh sb="80" eb="82">
      <t>タイショウ</t>
    </rPh>
    <rPh sb="85" eb="87">
      <t>ジョウホウ</t>
    </rPh>
    <phoneticPr fontId="1"/>
  </si>
  <si>
    <t>Integrity requirements are extremely high, and the issuance, modification, and discontinuation of information must be strictly controlled by business processes and segregation of duties.
Example: Information subject to company-wide controls under the FIEA (SOX/J-SOX)."</t>
    <phoneticPr fontId="1"/>
  </si>
  <si>
    <r>
      <t>完整性要求极高，信息的</t>
    </r>
    <r>
      <rPr>
        <sz val="10"/>
        <color theme="1"/>
        <rFont val="NSimSun"/>
        <family val="3"/>
        <charset val="134"/>
      </rPr>
      <t>发</t>
    </r>
    <r>
      <rPr>
        <sz val="10"/>
        <color theme="1"/>
        <rFont val="Meiryo UI"/>
        <family val="3"/>
        <charset val="128"/>
      </rPr>
      <t>布、修改、停用必</t>
    </r>
    <r>
      <rPr>
        <sz val="10"/>
        <color theme="1"/>
        <rFont val="NSimSun"/>
        <family val="3"/>
        <charset val="134"/>
      </rPr>
      <t>须</t>
    </r>
    <r>
      <rPr>
        <sz val="10"/>
        <color theme="1"/>
        <rFont val="Meiryo UI"/>
        <family val="3"/>
        <charset val="128"/>
      </rPr>
      <t>通</t>
    </r>
    <r>
      <rPr>
        <sz val="10"/>
        <color theme="1"/>
        <rFont val="NSimSun"/>
        <family val="3"/>
        <charset val="134"/>
      </rPr>
      <t>过业务</t>
    </r>
    <r>
      <rPr>
        <sz val="10"/>
        <color theme="1"/>
        <rFont val="Meiryo UI"/>
        <family val="3"/>
        <charset val="128"/>
      </rPr>
      <t>流程和</t>
    </r>
    <r>
      <rPr>
        <sz val="10"/>
        <color theme="1"/>
        <rFont val="NSimSun"/>
        <family val="3"/>
        <charset val="134"/>
      </rPr>
      <t>职责</t>
    </r>
    <r>
      <rPr>
        <sz val="10"/>
        <color theme="1"/>
        <rFont val="Meiryo UI"/>
        <family val="3"/>
        <charset val="128"/>
      </rPr>
      <t>分离来</t>
    </r>
    <r>
      <rPr>
        <sz val="10"/>
        <color theme="1"/>
        <rFont val="NSimSun"/>
        <family val="3"/>
        <charset val="134"/>
      </rPr>
      <t>严</t>
    </r>
    <r>
      <rPr>
        <sz val="10"/>
        <color theme="1"/>
        <rFont val="Meiryo UI"/>
        <family val="3"/>
        <charset val="128"/>
      </rPr>
      <t>格控制。
例如 受FIEA（SOX/J-SOX）全公司控制的信息。""</t>
    </r>
    <phoneticPr fontId="1"/>
  </si>
  <si>
    <t>完全性の要求が高く、情報の発行・修正・廃止が業務プロセスと職務分掌により管理される必要がある。
　　例：ISOのマネジメントシステムにより管理される情報</t>
    <rPh sb="0" eb="3">
      <t>カンゼンセイ</t>
    </rPh>
    <rPh sb="4" eb="6">
      <t>ヨウキュウ</t>
    </rPh>
    <rPh sb="7" eb="8">
      <t>タカ</t>
    </rPh>
    <rPh sb="10" eb="12">
      <t>ジョウホウ</t>
    </rPh>
    <rPh sb="13" eb="15">
      <t>ハッコウ</t>
    </rPh>
    <rPh sb="16" eb="18">
      <t>シュウセイ</t>
    </rPh>
    <rPh sb="19" eb="21">
      <t>ハイシ</t>
    </rPh>
    <rPh sb="22" eb="24">
      <t>ギョウム</t>
    </rPh>
    <rPh sb="29" eb="31">
      <t>ショクム</t>
    </rPh>
    <rPh sb="31" eb="33">
      <t>ブンショウ</t>
    </rPh>
    <rPh sb="36" eb="38">
      <t>カンリ</t>
    </rPh>
    <rPh sb="41" eb="43">
      <t>ヒツヨウ</t>
    </rPh>
    <rPh sb="50" eb="51">
      <t>レイ</t>
    </rPh>
    <rPh sb="69" eb="71">
      <t>カンリ</t>
    </rPh>
    <rPh sb="74" eb="76">
      <t>ジョウホウ</t>
    </rPh>
    <phoneticPr fontId="1"/>
  </si>
  <si>
    <t>Integrity requirements are high, and the issuance, modification, and abolition of information must be controlled by business processes and segregation of duties.
Example: Information managed by ISO management system."</t>
    <phoneticPr fontId="1"/>
  </si>
  <si>
    <r>
      <rPr>
        <sz val="10"/>
        <color theme="1"/>
        <rFont val="NSimSun"/>
        <family val="3"/>
        <charset val="134"/>
      </rPr>
      <t>诚</t>
    </r>
    <r>
      <rPr>
        <sz val="10"/>
        <color theme="1"/>
        <rFont val="Meiryo UI"/>
        <family val="3"/>
        <charset val="128"/>
      </rPr>
      <t>信要求高，信息的</t>
    </r>
    <r>
      <rPr>
        <sz val="10"/>
        <color theme="1"/>
        <rFont val="NSimSun"/>
        <family val="3"/>
        <charset val="134"/>
      </rPr>
      <t>发</t>
    </r>
    <r>
      <rPr>
        <sz val="10"/>
        <color theme="1"/>
        <rFont val="Meiryo UI"/>
        <family val="3"/>
        <charset val="128"/>
      </rPr>
      <t>布、修改、</t>
    </r>
    <r>
      <rPr>
        <sz val="10"/>
        <color theme="1"/>
        <rFont val="NSimSun"/>
        <family val="3"/>
        <charset val="134"/>
      </rPr>
      <t>废</t>
    </r>
    <r>
      <rPr>
        <sz val="10"/>
        <color theme="1"/>
        <rFont val="Meiryo UI"/>
        <family val="3"/>
        <charset val="128"/>
      </rPr>
      <t>止必</t>
    </r>
    <r>
      <rPr>
        <sz val="10"/>
        <color theme="1"/>
        <rFont val="NSimSun"/>
        <family val="3"/>
        <charset val="134"/>
      </rPr>
      <t>须</t>
    </r>
    <r>
      <rPr>
        <sz val="10"/>
        <color theme="1"/>
        <rFont val="Meiryo UI"/>
        <family val="3"/>
        <charset val="128"/>
      </rPr>
      <t>通</t>
    </r>
    <r>
      <rPr>
        <sz val="10"/>
        <color theme="1"/>
        <rFont val="NSimSun"/>
        <family val="3"/>
        <charset val="134"/>
      </rPr>
      <t>过业务</t>
    </r>
    <r>
      <rPr>
        <sz val="10"/>
        <color theme="1"/>
        <rFont val="Meiryo UI"/>
        <family val="3"/>
        <charset val="128"/>
      </rPr>
      <t>流程和</t>
    </r>
    <r>
      <rPr>
        <sz val="10"/>
        <color theme="1"/>
        <rFont val="NSimSun"/>
        <family val="3"/>
        <charset val="134"/>
      </rPr>
      <t>职责</t>
    </r>
    <r>
      <rPr>
        <sz val="10"/>
        <color theme="1"/>
        <rFont val="Meiryo UI"/>
        <family val="3"/>
        <charset val="128"/>
      </rPr>
      <t>分离来控制。
例如：""。ISO管理体系管理的信息""。</t>
    </r>
    <phoneticPr fontId="1"/>
  </si>
  <si>
    <t>完全性が求められ、情報の発行・修正・廃止が職務分掌により管理される必要がある。
　　例：上記に該当しない、業務で扱われる情報全般</t>
    <rPh sb="0" eb="3">
      <t>カンゼンセイ</t>
    </rPh>
    <rPh sb="4" eb="5">
      <t>モト</t>
    </rPh>
    <rPh sb="9" eb="11">
      <t>ジョウホウ</t>
    </rPh>
    <rPh sb="12" eb="14">
      <t>ハッコウ</t>
    </rPh>
    <rPh sb="15" eb="17">
      <t>シュウセイ</t>
    </rPh>
    <rPh sb="18" eb="20">
      <t>ハイシ</t>
    </rPh>
    <rPh sb="21" eb="23">
      <t>ショクム</t>
    </rPh>
    <rPh sb="23" eb="25">
      <t>ブンショウ</t>
    </rPh>
    <rPh sb="28" eb="30">
      <t>カンリ</t>
    </rPh>
    <rPh sb="33" eb="35">
      <t>ヒツヨウ</t>
    </rPh>
    <rPh sb="42" eb="43">
      <t>レイ</t>
    </rPh>
    <rPh sb="44" eb="46">
      <t>ジョウキ</t>
    </rPh>
    <rPh sb="47" eb="49">
      <t>ガイトウ</t>
    </rPh>
    <rPh sb="53" eb="55">
      <t>ギョウム</t>
    </rPh>
    <rPh sb="56" eb="57">
      <t>アツカ</t>
    </rPh>
    <rPh sb="60" eb="62">
      <t>ジョウホウ</t>
    </rPh>
    <rPh sb="62" eb="64">
      <t>ゼンパン</t>
    </rPh>
    <phoneticPr fontId="1"/>
  </si>
  <si>
    <t>Integrity requirements are high, and the issuance, modification, and decommissioning of information must be controlled by the division of duties.
Example: All information handled by the business that does not fall under the above.</t>
    <phoneticPr fontId="1"/>
  </si>
  <si>
    <t>诚信要求高，信息的发布、修改、退役必须按职责分工控制。
例如："。业务处理的所有信息，不属于上述范围。"</t>
    <phoneticPr fontId="1"/>
  </si>
  <si>
    <t>可用性
availability
可用性</t>
  </si>
  <si>
    <t>常に利用できる能力を求めるレベル</t>
    <rPh sb="0" eb="1">
      <t>ツネ</t>
    </rPh>
    <rPh sb="2" eb="4">
      <t>リヨウ</t>
    </rPh>
    <rPh sb="7" eb="9">
      <t>ノウリョク</t>
    </rPh>
    <rPh sb="10" eb="11">
      <t>モト</t>
    </rPh>
    <phoneticPr fontId="1"/>
  </si>
  <si>
    <t>Level requiring the ability to be available at all times</t>
    <phoneticPr fontId="1"/>
  </si>
  <si>
    <r>
      <t>级</t>
    </r>
    <r>
      <rPr>
        <b/>
        <sz val="12"/>
        <rFont val="Meiryo UI"/>
        <family val="3"/>
        <charset val="128"/>
      </rPr>
      <t>，要求能</t>
    </r>
    <r>
      <rPr>
        <b/>
        <sz val="12"/>
        <rFont val="NSimSun"/>
        <family val="3"/>
        <charset val="134"/>
      </rPr>
      <t>够</t>
    </r>
    <r>
      <rPr>
        <b/>
        <sz val="12"/>
        <rFont val="Meiryo UI"/>
        <family val="3"/>
        <charset val="128"/>
      </rPr>
      <t>随</t>
    </r>
    <r>
      <rPr>
        <b/>
        <sz val="12"/>
        <rFont val="NSimSun"/>
        <family val="3"/>
        <charset val="134"/>
      </rPr>
      <t>时</t>
    </r>
    <r>
      <rPr>
        <b/>
        <sz val="12"/>
        <rFont val="Meiryo UI"/>
        <family val="3"/>
        <charset val="128"/>
      </rPr>
      <t>随地的使用</t>
    </r>
    <phoneticPr fontId="1"/>
  </si>
  <si>
    <t>可用性の要求が極めて高く、計画停止を除く稼働率が99%(年間4日以下)を下回ると、社外の関係者に影響が発生する。
　　例：MESなどの生産制御系システム、R/3などグローバルで利用される単一インスタンスのシステムなど</t>
    <rPh sb="0" eb="3">
      <t>カヨウセイ</t>
    </rPh>
    <rPh sb="4" eb="6">
      <t>ヨウキュウ</t>
    </rPh>
    <rPh sb="7" eb="8">
      <t>キワ</t>
    </rPh>
    <rPh sb="10" eb="11">
      <t>タカ</t>
    </rPh>
    <rPh sb="13" eb="15">
      <t>ケイカク</t>
    </rPh>
    <rPh sb="15" eb="17">
      <t>テイシ</t>
    </rPh>
    <rPh sb="18" eb="19">
      <t>ノゾ</t>
    </rPh>
    <rPh sb="20" eb="22">
      <t>カドウ</t>
    </rPh>
    <rPh sb="22" eb="23">
      <t>リツ</t>
    </rPh>
    <rPh sb="28" eb="30">
      <t>ネンカン</t>
    </rPh>
    <rPh sb="31" eb="32">
      <t>ニチ</t>
    </rPh>
    <rPh sb="32" eb="34">
      <t>イカ</t>
    </rPh>
    <rPh sb="36" eb="38">
      <t>シタマワ</t>
    </rPh>
    <rPh sb="41" eb="43">
      <t>シャガイ</t>
    </rPh>
    <rPh sb="44" eb="47">
      <t>カンケイシャ</t>
    </rPh>
    <rPh sb="48" eb="50">
      <t>エイキョウ</t>
    </rPh>
    <rPh sb="51" eb="53">
      <t>ハッセイ</t>
    </rPh>
    <rPh sb="59" eb="60">
      <t>レイ</t>
    </rPh>
    <rPh sb="67" eb="69">
      <t>セイサン</t>
    </rPh>
    <rPh sb="69" eb="71">
      <t>セイギョ</t>
    </rPh>
    <rPh sb="71" eb="72">
      <t>ケイ</t>
    </rPh>
    <rPh sb="88" eb="90">
      <t>リヨウ</t>
    </rPh>
    <rPh sb="93" eb="95">
      <t>タンイツ</t>
    </rPh>
    <phoneticPr fontId="1"/>
  </si>
  <si>
    <t>The requirement for availability is extremely high, and if the availability rate, excluding planned outages, falls below 99% (less than 4 days per year), it will have an impact on parties outside the company.
Examples: production control systems such as MES, systems with a single instance that are used globally such as R/3, etc."</t>
    <phoneticPr fontId="1"/>
  </si>
  <si>
    <r>
      <rPr>
        <sz val="10"/>
        <color theme="1"/>
        <rFont val="NSimSun"/>
        <family val="3"/>
        <charset val="134"/>
      </rPr>
      <t>对</t>
    </r>
    <r>
      <rPr>
        <sz val="10"/>
        <color theme="1"/>
        <rFont val="Meiryo UI"/>
        <family val="3"/>
        <charset val="128"/>
      </rPr>
      <t>可用性的要求极高，如果可用性率（不包括</t>
    </r>
    <r>
      <rPr>
        <sz val="10"/>
        <color theme="1"/>
        <rFont val="NSimSun"/>
        <family val="3"/>
        <charset val="134"/>
      </rPr>
      <t>计</t>
    </r>
    <r>
      <rPr>
        <sz val="10"/>
        <color theme="1"/>
        <rFont val="Meiryo UI"/>
        <family val="3"/>
        <charset val="128"/>
      </rPr>
      <t>划中断）低于99%（每年少于4天），将</t>
    </r>
    <r>
      <rPr>
        <sz val="10"/>
        <color theme="1"/>
        <rFont val="NSimSun"/>
        <family val="3"/>
        <charset val="134"/>
      </rPr>
      <t>对</t>
    </r>
    <r>
      <rPr>
        <sz val="10"/>
        <color theme="1"/>
        <rFont val="Meiryo UI"/>
        <family val="3"/>
        <charset val="128"/>
      </rPr>
      <t>公司以外的各方</t>
    </r>
    <r>
      <rPr>
        <sz val="10"/>
        <color theme="1"/>
        <rFont val="NSimSun"/>
        <family val="3"/>
        <charset val="134"/>
      </rPr>
      <t>产</t>
    </r>
    <r>
      <rPr>
        <sz val="10"/>
        <color theme="1"/>
        <rFont val="Meiryo UI"/>
        <family val="3"/>
        <charset val="128"/>
      </rPr>
      <t>生影响。
例如：MES等生</t>
    </r>
    <r>
      <rPr>
        <sz val="10"/>
        <color theme="1"/>
        <rFont val="NSimSun"/>
        <family val="3"/>
        <charset val="134"/>
      </rPr>
      <t>产</t>
    </r>
    <r>
      <rPr>
        <sz val="10"/>
        <color theme="1"/>
        <rFont val="Meiryo UI"/>
        <family val="3"/>
        <charset val="128"/>
      </rPr>
      <t>控制系</t>
    </r>
    <r>
      <rPr>
        <sz val="10"/>
        <color theme="1"/>
        <rFont val="NSimSun"/>
        <family val="3"/>
        <charset val="134"/>
      </rPr>
      <t>统</t>
    </r>
    <r>
      <rPr>
        <sz val="10"/>
        <color theme="1"/>
        <rFont val="Meiryo UI"/>
        <family val="3"/>
        <charset val="128"/>
      </rPr>
      <t>、R/3等全球使用的</t>
    </r>
    <r>
      <rPr>
        <sz val="10"/>
        <color theme="1"/>
        <rFont val="NSimSun"/>
        <family val="3"/>
        <charset val="134"/>
      </rPr>
      <t>单</t>
    </r>
    <r>
      <rPr>
        <sz val="10"/>
        <color theme="1"/>
        <rFont val="Meiryo UI"/>
        <family val="3"/>
        <charset val="128"/>
      </rPr>
      <t>例系</t>
    </r>
    <r>
      <rPr>
        <sz val="10"/>
        <color theme="1"/>
        <rFont val="NSimSun"/>
        <family val="3"/>
        <charset val="134"/>
      </rPr>
      <t>统</t>
    </r>
    <r>
      <rPr>
        <sz val="10"/>
        <color theme="1"/>
        <rFont val="Meiryo UI"/>
        <family val="3"/>
        <charset val="128"/>
      </rPr>
      <t>等""</t>
    </r>
    <phoneticPr fontId="1"/>
  </si>
  <si>
    <t>可用性の要求が高く、計画停止を除く稼働率が99%(年間4日以下)を下回ると、社内業務に影響が発生する。
　　例：一般的な業務に関連する情報全般</t>
    <rPh sb="0" eb="3">
      <t>カヨウセイ</t>
    </rPh>
    <rPh sb="4" eb="6">
      <t>ヨウキュウ</t>
    </rPh>
    <rPh sb="7" eb="8">
      <t>タカ</t>
    </rPh>
    <rPh sb="10" eb="12">
      <t>ケイカク</t>
    </rPh>
    <rPh sb="12" eb="14">
      <t>テイシ</t>
    </rPh>
    <rPh sb="15" eb="16">
      <t>ノゾ</t>
    </rPh>
    <rPh sb="17" eb="19">
      <t>カドウ</t>
    </rPh>
    <rPh sb="19" eb="20">
      <t>リツ</t>
    </rPh>
    <rPh sb="25" eb="27">
      <t>ネンカン</t>
    </rPh>
    <rPh sb="28" eb="29">
      <t>ニチ</t>
    </rPh>
    <rPh sb="29" eb="31">
      <t>イカ</t>
    </rPh>
    <rPh sb="33" eb="35">
      <t>シタマワ</t>
    </rPh>
    <rPh sb="38" eb="40">
      <t>シャナイ</t>
    </rPh>
    <rPh sb="40" eb="42">
      <t>ギョウム</t>
    </rPh>
    <rPh sb="43" eb="45">
      <t>エイキョウ</t>
    </rPh>
    <rPh sb="46" eb="48">
      <t>ハッセイ</t>
    </rPh>
    <rPh sb="54" eb="55">
      <t>レイ</t>
    </rPh>
    <rPh sb="56" eb="59">
      <t>イッパンテキ</t>
    </rPh>
    <rPh sb="60" eb="62">
      <t>ギョウム</t>
    </rPh>
    <rPh sb="63" eb="65">
      <t>カンレン</t>
    </rPh>
    <rPh sb="67" eb="69">
      <t>ジョウホウ</t>
    </rPh>
    <rPh sb="69" eb="71">
      <t>ゼンパン</t>
    </rPh>
    <phoneticPr fontId="1"/>
  </si>
  <si>
    <t>If the availability requirement is high and the availability rate, excluding planned outages, falls below 99% (less than 4 days per year), internal operations will be affected.
Example: general information related to general business operations."</t>
    <phoneticPr fontId="1"/>
  </si>
  <si>
    <r>
      <t>如果</t>
    </r>
    <r>
      <rPr>
        <sz val="10"/>
        <rFont val="NSimSun"/>
        <family val="3"/>
        <charset val="134"/>
      </rPr>
      <t>对</t>
    </r>
    <r>
      <rPr>
        <sz val="10"/>
        <rFont val="Meiryo UI"/>
        <family val="3"/>
        <charset val="128"/>
      </rPr>
      <t>可用性要求</t>
    </r>
    <r>
      <rPr>
        <sz val="10"/>
        <rFont val="NSimSun"/>
        <family val="3"/>
        <charset val="134"/>
      </rPr>
      <t>较</t>
    </r>
    <r>
      <rPr>
        <sz val="10"/>
        <rFont val="Meiryo UI"/>
        <family val="3"/>
        <charset val="128"/>
      </rPr>
      <t>高，且可用性率（不包括</t>
    </r>
    <r>
      <rPr>
        <sz val="10"/>
        <rFont val="NSimSun"/>
        <family val="3"/>
        <charset val="134"/>
      </rPr>
      <t>计</t>
    </r>
    <r>
      <rPr>
        <sz val="10"/>
        <rFont val="Meiryo UI"/>
        <family val="3"/>
        <charset val="128"/>
      </rPr>
      <t>划中断）低于99%（每年少于4天），将影响内部</t>
    </r>
    <r>
      <rPr>
        <sz val="10"/>
        <rFont val="NSimSun"/>
        <family val="3"/>
        <charset val="134"/>
      </rPr>
      <t>业务</t>
    </r>
    <r>
      <rPr>
        <sz val="10"/>
        <rFont val="Meiryo UI"/>
        <family val="3"/>
        <charset val="128"/>
      </rPr>
      <t>的开展。
例如：与一般</t>
    </r>
    <r>
      <rPr>
        <sz val="10"/>
        <rFont val="NSimSun"/>
        <family val="3"/>
        <charset val="134"/>
      </rPr>
      <t>业务</t>
    </r>
    <r>
      <rPr>
        <sz val="10"/>
        <rFont val="Meiryo UI"/>
        <family val="3"/>
        <charset val="128"/>
      </rPr>
      <t>操作相关的一般信息""。</t>
    </r>
    <phoneticPr fontId="1"/>
  </si>
  <si>
    <t>可用性が求められるが、利用時期が調整可能であったり、代替の手配が容易などの理由で、業務影響は発生しずらい。
　　例：セカンドPC、貸出制の計測器・校正機器、試作品など</t>
    <rPh sb="0" eb="3">
      <t>カヨウセイ</t>
    </rPh>
    <rPh sb="4" eb="5">
      <t>モト</t>
    </rPh>
    <rPh sb="11" eb="13">
      <t>リヨウ</t>
    </rPh>
    <rPh sb="13" eb="15">
      <t>ジキ</t>
    </rPh>
    <rPh sb="16" eb="18">
      <t>チョウセイ</t>
    </rPh>
    <rPh sb="18" eb="20">
      <t>カノウ</t>
    </rPh>
    <rPh sb="26" eb="28">
      <t>ダイタイ</t>
    </rPh>
    <rPh sb="29" eb="31">
      <t>テハイ</t>
    </rPh>
    <rPh sb="32" eb="34">
      <t>ヨウイ</t>
    </rPh>
    <rPh sb="37" eb="39">
      <t>リユウ</t>
    </rPh>
    <rPh sb="41" eb="43">
      <t>ギョウム</t>
    </rPh>
    <rPh sb="43" eb="45">
      <t>エイキョウ</t>
    </rPh>
    <rPh sb="46" eb="48">
      <t>ハッセイ</t>
    </rPh>
    <rPh sb="56" eb="57">
      <t>レイ</t>
    </rPh>
    <rPh sb="65" eb="67">
      <t>カシダシ</t>
    </rPh>
    <rPh sb="67" eb="68">
      <t>セイ</t>
    </rPh>
    <rPh sb="69" eb="72">
      <t>ケイソクキ</t>
    </rPh>
    <rPh sb="73" eb="75">
      <t>コウセイ</t>
    </rPh>
    <rPh sb="75" eb="77">
      <t>キキ</t>
    </rPh>
    <rPh sb="78" eb="81">
      <t>シサクヒン</t>
    </rPh>
    <phoneticPr fontId="1"/>
  </si>
  <si>
    <t>Although availability is required, business impact is unlikely to occur because the timing of use can be adjusted or alternative arrangements are easy to make.
Examples: second PC, measuring and calibration equipment on loan, prototypes, etc."</t>
    <phoneticPr fontId="1"/>
  </si>
  <si>
    <r>
      <rPr>
        <sz val="10"/>
        <color theme="1"/>
        <rFont val="NSimSun"/>
        <family val="3"/>
        <charset val="134"/>
      </rPr>
      <t>虽</t>
    </r>
    <r>
      <rPr>
        <sz val="10"/>
        <color theme="1"/>
        <rFont val="Meiryo UI"/>
        <family val="3"/>
        <charset val="128"/>
      </rPr>
      <t>然需要可用性，但由于使用</t>
    </r>
    <r>
      <rPr>
        <sz val="10"/>
        <color theme="1"/>
        <rFont val="NSimSun"/>
        <family val="3"/>
        <charset val="134"/>
      </rPr>
      <t>时间</t>
    </r>
    <r>
      <rPr>
        <sz val="10"/>
        <color theme="1"/>
        <rFont val="Meiryo UI"/>
        <family val="3"/>
        <charset val="128"/>
      </rPr>
      <t>可以</t>
    </r>
    <r>
      <rPr>
        <sz val="10"/>
        <color theme="1"/>
        <rFont val="NSimSun"/>
        <family val="3"/>
        <charset val="134"/>
      </rPr>
      <t>调</t>
    </r>
    <r>
      <rPr>
        <sz val="10"/>
        <color theme="1"/>
        <rFont val="Meiryo UI"/>
        <family val="3"/>
        <charset val="128"/>
      </rPr>
      <t>整或容易做出替代安排，所以不太可能</t>
    </r>
    <r>
      <rPr>
        <sz val="10"/>
        <color theme="1"/>
        <rFont val="NSimSun"/>
        <family val="3"/>
        <charset val="134"/>
      </rPr>
      <t>发</t>
    </r>
    <r>
      <rPr>
        <sz val="10"/>
        <color theme="1"/>
        <rFont val="Meiryo UI"/>
        <family val="3"/>
        <charset val="128"/>
      </rPr>
      <t>生</t>
    </r>
    <r>
      <rPr>
        <sz val="10"/>
        <color theme="1"/>
        <rFont val="NSimSun"/>
        <family val="3"/>
        <charset val="134"/>
      </rPr>
      <t>业务</t>
    </r>
    <r>
      <rPr>
        <sz val="10"/>
        <color theme="1"/>
        <rFont val="Meiryo UI"/>
        <family val="3"/>
        <charset val="128"/>
      </rPr>
      <t>影响。
例如：第二台个人</t>
    </r>
    <r>
      <rPr>
        <sz val="10"/>
        <color theme="1"/>
        <rFont val="NSimSun"/>
        <family val="3"/>
        <charset val="134"/>
      </rPr>
      <t>计</t>
    </r>
    <r>
      <rPr>
        <sz val="10"/>
        <color theme="1"/>
        <rFont val="Meiryo UI"/>
        <family val="3"/>
        <charset val="128"/>
      </rPr>
      <t>算机、借用的</t>
    </r>
    <r>
      <rPr>
        <sz val="10"/>
        <color theme="1"/>
        <rFont val="NSimSun"/>
        <family val="3"/>
        <charset val="134"/>
      </rPr>
      <t>测</t>
    </r>
    <r>
      <rPr>
        <sz val="10"/>
        <color theme="1"/>
        <rFont val="Meiryo UI"/>
        <family val="3"/>
        <charset val="128"/>
      </rPr>
      <t>量和校准</t>
    </r>
    <r>
      <rPr>
        <sz val="10"/>
        <color theme="1"/>
        <rFont val="NSimSun"/>
        <family val="3"/>
        <charset val="134"/>
      </rPr>
      <t>设备</t>
    </r>
    <r>
      <rPr>
        <sz val="10"/>
        <color theme="1"/>
        <rFont val="Meiryo UI"/>
        <family val="3"/>
        <charset val="128"/>
      </rPr>
      <t>、原型等""</t>
    </r>
    <phoneticPr fontId="1"/>
  </si>
  <si>
    <t>重要度
Importance
重要性</t>
  </si>
  <si>
    <t>機密性、完全性、可用性　の最大値</t>
    <rPh sb="0" eb="3">
      <t>キミツセイ</t>
    </rPh>
    <rPh sb="4" eb="6">
      <t>カンゼン</t>
    </rPh>
    <rPh sb="6" eb="7">
      <t>セイ</t>
    </rPh>
    <rPh sb="8" eb="11">
      <t>カヨウセイ</t>
    </rPh>
    <rPh sb="13" eb="16">
      <t>サイダイチ</t>
    </rPh>
    <phoneticPr fontId="1"/>
  </si>
  <si>
    <t>台帳の計算式　=MAX(L2:N2)</t>
    <rPh sb="0" eb="2">
      <t>ダイチョウ</t>
    </rPh>
    <rPh sb="3" eb="5">
      <t>ケイサン</t>
    </rPh>
    <rPh sb="5" eb="6">
      <t>シキ</t>
    </rPh>
    <phoneticPr fontId="1"/>
  </si>
  <si>
    <t xml:space="preserve">Maximum Confidentiality, Integrity, and Availability </t>
    <phoneticPr fontId="1"/>
  </si>
  <si>
    <t>Ledger Formula =MAX(L2:N2)</t>
    <phoneticPr fontId="1"/>
  </si>
  <si>
    <r>
      <t>最大保密性、完整性和可用性分</t>
    </r>
    <r>
      <rPr>
        <b/>
        <sz val="12"/>
        <color theme="1"/>
        <rFont val="NSimSun"/>
        <family val="3"/>
        <charset val="134"/>
      </rPr>
      <t>类</t>
    </r>
    <phoneticPr fontId="1"/>
  </si>
  <si>
    <t>账公式=MAX(L2:N2)</t>
    <phoneticPr fontId="1"/>
  </si>
  <si>
    <t>脅威の発生可能性
Threat probality Class
威胁概率等级</t>
  </si>
  <si>
    <t>意図的(不法侵入･ウイルス)、偶発的(ミス･誤送信･紛失)、環境(災害)も含む。</t>
    <rPh sb="0" eb="3">
      <t>イトテキ</t>
    </rPh>
    <rPh sb="4" eb="6">
      <t>フホウ</t>
    </rPh>
    <rPh sb="6" eb="8">
      <t>シンニュウ</t>
    </rPh>
    <rPh sb="15" eb="18">
      <t>グウハツテキ</t>
    </rPh>
    <rPh sb="22" eb="25">
      <t>ゴソウシン</t>
    </rPh>
    <rPh sb="26" eb="28">
      <t>フンシツ</t>
    </rPh>
    <rPh sb="30" eb="32">
      <t>カンキョウ</t>
    </rPh>
    <rPh sb="33" eb="35">
      <t>サイガイ</t>
    </rPh>
    <rPh sb="37" eb="38">
      <t>フク</t>
    </rPh>
    <phoneticPr fontId="1"/>
  </si>
  <si>
    <t>Intentional (trespassing, viruses), accidental (mistakes, misdirection, loss), and includes environmental (disasters).</t>
    <phoneticPr fontId="1"/>
  </si>
  <si>
    <r>
      <t>故意的（非法入侵、病毒）、意外的（</t>
    </r>
    <r>
      <rPr>
        <b/>
        <sz val="12"/>
        <color theme="1"/>
        <rFont val="NSimSun"/>
        <family val="3"/>
        <charset val="134"/>
      </rPr>
      <t>错误</t>
    </r>
    <r>
      <rPr>
        <b/>
        <sz val="12"/>
        <color theme="1"/>
        <rFont val="Meiryo UI"/>
        <family val="3"/>
        <charset val="128"/>
      </rPr>
      <t>、</t>
    </r>
    <r>
      <rPr>
        <b/>
        <sz val="12"/>
        <color theme="1"/>
        <rFont val="NSimSun"/>
        <family val="3"/>
        <charset val="134"/>
      </rPr>
      <t>误导</t>
    </r>
    <r>
      <rPr>
        <b/>
        <sz val="12"/>
        <color theme="1"/>
        <rFont val="Meiryo UI"/>
        <family val="3"/>
        <charset val="128"/>
      </rPr>
      <t>、</t>
    </r>
    <r>
      <rPr>
        <b/>
        <sz val="12"/>
        <color theme="1"/>
        <rFont val="NSimSun"/>
        <family val="3"/>
        <charset val="134"/>
      </rPr>
      <t>丢</t>
    </r>
    <r>
      <rPr>
        <b/>
        <sz val="12"/>
        <color theme="1"/>
        <rFont val="Meiryo UI"/>
        <family val="3"/>
        <charset val="128"/>
      </rPr>
      <t>失），</t>
    </r>
    <r>
      <rPr>
        <b/>
        <sz val="12"/>
        <color theme="1"/>
        <rFont val="NSimSun"/>
        <family val="3"/>
        <charset val="134"/>
      </rPr>
      <t>还</t>
    </r>
    <r>
      <rPr>
        <b/>
        <sz val="12"/>
        <color theme="1"/>
        <rFont val="Meiryo UI"/>
        <family val="3"/>
        <charset val="128"/>
      </rPr>
      <t>包括</t>
    </r>
    <r>
      <rPr>
        <b/>
        <sz val="12"/>
        <color theme="1"/>
        <rFont val="NSimSun"/>
        <family val="3"/>
        <charset val="134"/>
      </rPr>
      <t>环</t>
    </r>
    <r>
      <rPr>
        <b/>
        <sz val="12"/>
        <color theme="1"/>
        <rFont val="Meiryo UI"/>
        <family val="3"/>
        <charset val="128"/>
      </rPr>
      <t>境的（灾害）。</t>
    </r>
    <phoneticPr fontId="1"/>
  </si>
  <si>
    <t>情報資産が社内外の業務関係者で利用されるため、脅威が発生する可能性が高い</t>
    <rPh sb="0" eb="2">
      <t>ジョウホウ</t>
    </rPh>
    <rPh sb="2" eb="4">
      <t>シサン</t>
    </rPh>
    <rPh sb="5" eb="8">
      <t>シャナイガイ</t>
    </rPh>
    <rPh sb="9" eb="11">
      <t>ギョウム</t>
    </rPh>
    <rPh sb="11" eb="14">
      <t>カンケイシャ</t>
    </rPh>
    <rPh sb="15" eb="17">
      <t>リヨウ</t>
    </rPh>
    <rPh sb="23" eb="25">
      <t>キョウイ</t>
    </rPh>
    <rPh sb="26" eb="28">
      <t>ハッセイ</t>
    </rPh>
    <rPh sb="30" eb="33">
      <t>カノウセイ</t>
    </rPh>
    <rPh sb="34" eb="35">
      <t>タカ</t>
    </rPh>
    <phoneticPr fontId="1"/>
  </si>
  <si>
    <t>Since information assets are used by internal and external business associates, there is a high possibility of threats occurring.</t>
    <phoneticPr fontId="1"/>
  </si>
  <si>
    <r>
      <t>由于信息</t>
    </r>
    <r>
      <rPr>
        <sz val="10"/>
        <color theme="1"/>
        <rFont val="NSimSun"/>
        <family val="3"/>
        <charset val="134"/>
      </rPr>
      <t>资产</t>
    </r>
    <r>
      <rPr>
        <sz val="10"/>
        <color theme="1"/>
        <rFont val="Meiryo UI"/>
        <family val="3"/>
        <charset val="128"/>
      </rPr>
      <t>的使用</t>
    </r>
    <r>
      <rPr>
        <sz val="10"/>
        <color theme="1"/>
        <rFont val="NSimSun"/>
        <family val="3"/>
        <charset val="134"/>
      </rPr>
      <t>对</t>
    </r>
    <r>
      <rPr>
        <sz val="10"/>
        <color theme="1"/>
        <rFont val="Meiryo UI"/>
        <family val="3"/>
        <charset val="128"/>
      </rPr>
      <t>象是企</t>
    </r>
    <r>
      <rPr>
        <sz val="10"/>
        <color theme="1"/>
        <rFont val="NSimSun"/>
        <family val="3"/>
        <charset val="134"/>
      </rPr>
      <t>业</t>
    </r>
    <r>
      <rPr>
        <sz val="10"/>
        <color theme="1"/>
        <rFont val="Meiryo UI"/>
        <family val="3"/>
        <charset val="128"/>
      </rPr>
      <t>内部和外部的</t>
    </r>
    <r>
      <rPr>
        <sz val="10"/>
        <color theme="1"/>
        <rFont val="NSimSun"/>
        <family val="3"/>
        <charset val="134"/>
      </rPr>
      <t>业务</t>
    </r>
    <r>
      <rPr>
        <sz val="10"/>
        <color theme="1"/>
        <rFont val="Meiryo UI"/>
        <family val="3"/>
        <charset val="128"/>
      </rPr>
      <t>伙伴，所以</t>
    </r>
    <r>
      <rPr>
        <sz val="10"/>
        <color theme="1"/>
        <rFont val="NSimSun"/>
        <family val="3"/>
        <charset val="134"/>
      </rPr>
      <t>发</t>
    </r>
    <r>
      <rPr>
        <sz val="10"/>
        <color theme="1"/>
        <rFont val="Meiryo UI"/>
        <family val="3"/>
        <charset val="128"/>
      </rPr>
      <t>生威</t>
    </r>
    <r>
      <rPr>
        <sz val="10"/>
        <color theme="1"/>
        <rFont val="NSimSun"/>
        <family val="3"/>
        <charset val="134"/>
      </rPr>
      <t>胁</t>
    </r>
    <r>
      <rPr>
        <sz val="10"/>
        <color theme="1"/>
        <rFont val="Meiryo UI"/>
        <family val="3"/>
        <charset val="128"/>
      </rPr>
      <t>的可能性很大。</t>
    </r>
    <phoneticPr fontId="1"/>
  </si>
  <si>
    <t>情報資産の利用範囲が社内に留まるため、脅威が発生する可能性は中程度</t>
    <rPh sb="0" eb="2">
      <t>ジョウホウ</t>
    </rPh>
    <rPh sb="2" eb="4">
      <t>シサン</t>
    </rPh>
    <rPh sb="5" eb="7">
      <t>リヨウ</t>
    </rPh>
    <rPh sb="7" eb="9">
      <t>ハンイ</t>
    </rPh>
    <rPh sb="10" eb="12">
      <t>シャナイ</t>
    </rPh>
    <rPh sb="13" eb="14">
      <t>トド</t>
    </rPh>
    <rPh sb="19" eb="21">
      <t>キョウイ</t>
    </rPh>
    <rPh sb="22" eb="24">
      <t>ハッセイ</t>
    </rPh>
    <rPh sb="26" eb="29">
      <t>カノウセイ</t>
    </rPh>
    <rPh sb="30" eb="33">
      <t>チュウテイド</t>
    </rPh>
    <phoneticPr fontId="1"/>
  </si>
  <si>
    <t>Since the scope of use of information assets is limited within the company, the possibility of threats occurring is moderate.</t>
    <phoneticPr fontId="1"/>
  </si>
  <si>
    <r>
      <t>由于信息</t>
    </r>
    <r>
      <rPr>
        <sz val="10"/>
        <color theme="1"/>
        <rFont val="NSimSun"/>
        <family val="3"/>
        <charset val="134"/>
      </rPr>
      <t>资产</t>
    </r>
    <r>
      <rPr>
        <sz val="10"/>
        <color theme="1"/>
        <rFont val="Meiryo UI"/>
        <family val="3"/>
        <charset val="128"/>
      </rPr>
      <t>的使用范</t>
    </r>
    <r>
      <rPr>
        <sz val="10"/>
        <color theme="1"/>
        <rFont val="NSimSun"/>
        <family val="3"/>
        <charset val="134"/>
      </rPr>
      <t>围仅</t>
    </r>
    <r>
      <rPr>
        <sz val="10"/>
        <color theme="1"/>
        <rFont val="Meiryo UI"/>
        <family val="3"/>
        <charset val="128"/>
      </rPr>
      <t>限于公司内部，所以</t>
    </r>
    <r>
      <rPr>
        <sz val="10"/>
        <color theme="1"/>
        <rFont val="NSimSun"/>
        <family val="3"/>
        <charset val="134"/>
      </rPr>
      <t>发</t>
    </r>
    <r>
      <rPr>
        <sz val="10"/>
        <color theme="1"/>
        <rFont val="Meiryo UI"/>
        <family val="3"/>
        <charset val="128"/>
      </rPr>
      <t>生威</t>
    </r>
    <r>
      <rPr>
        <sz val="10"/>
        <color theme="1"/>
        <rFont val="NSimSun"/>
        <family val="3"/>
        <charset val="134"/>
      </rPr>
      <t>胁</t>
    </r>
    <r>
      <rPr>
        <sz val="10"/>
        <color theme="1"/>
        <rFont val="Meiryo UI"/>
        <family val="3"/>
        <charset val="128"/>
      </rPr>
      <t>的可能性中等。</t>
    </r>
    <phoneticPr fontId="1"/>
  </si>
  <si>
    <t>情報資産の利用範囲が社内の業務関係者に限定されるため、脅威が発生する可能性が低い</t>
    <rPh sb="0" eb="2">
      <t>ジョウホウ</t>
    </rPh>
    <rPh sb="2" eb="4">
      <t>シサン</t>
    </rPh>
    <rPh sb="5" eb="7">
      <t>リヨウ</t>
    </rPh>
    <rPh sb="7" eb="9">
      <t>ハンイ</t>
    </rPh>
    <rPh sb="10" eb="12">
      <t>シャナイ</t>
    </rPh>
    <rPh sb="13" eb="15">
      <t>ギョウム</t>
    </rPh>
    <rPh sb="15" eb="18">
      <t>カンケイシャ</t>
    </rPh>
    <rPh sb="19" eb="21">
      <t>ゲンテイ</t>
    </rPh>
    <rPh sb="27" eb="29">
      <t>キョウイ</t>
    </rPh>
    <rPh sb="30" eb="32">
      <t>ハッセイ</t>
    </rPh>
    <rPh sb="34" eb="37">
      <t>カノウセイ</t>
    </rPh>
    <rPh sb="38" eb="39">
      <t>ヒク</t>
    </rPh>
    <phoneticPr fontId="1"/>
  </si>
  <si>
    <t>Low threat likelihood because the scope of use of the information assets is limited to internal business associates.</t>
    <phoneticPr fontId="1"/>
  </si>
  <si>
    <r>
      <t>由于信息</t>
    </r>
    <r>
      <rPr>
        <sz val="10"/>
        <color theme="1"/>
        <rFont val="NSimSun"/>
        <family val="3"/>
        <charset val="134"/>
      </rPr>
      <t>资产</t>
    </r>
    <r>
      <rPr>
        <sz val="10"/>
        <color theme="1"/>
        <rFont val="Meiryo UI"/>
        <family val="3"/>
        <charset val="128"/>
      </rPr>
      <t>的使用范</t>
    </r>
    <r>
      <rPr>
        <sz val="10"/>
        <color theme="1"/>
        <rFont val="NSimSun"/>
        <family val="3"/>
        <charset val="134"/>
      </rPr>
      <t>围仅</t>
    </r>
    <r>
      <rPr>
        <sz val="10"/>
        <color theme="1"/>
        <rFont val="Meiryo UI"/>
        <family val="3"/>
        <charset val="128"/>
      </rPr>
      <t>限于公司内部</t>
    </r>
    <r>
      <rPr>
        <sz val="10"/>
        <color theme="1"/>
        <rFont val="NSimSun"/>
        <family val="3"/>
        <charset val="134"/>
      </rPr>
      <t>业务</t>
    </r>
    <r>
      <rPr>
        <sz val="10"/>
        <color theme="1"/>
        <rFont val="Meiryo UI"/>
        <family val="3"/>
        <charset val="128"/>
      </rPr>
      <t>关</t>
    </r>
    <r>
      <rPr>
        <sz val="10"/>
        <color theme="1"/>
        <rFont val="NSimSun"/>
        <family val="3"/>
        <charset val="134"/>
      </rPr>
      <t>联</t>
    </r>
    <r>
      <rPr>
        <sz val="10"/>
        <color theme="1"/>
        <rFont val="Meiryo UI"/>
        <family val="3"/>
        <charset val="128"/>
      </rPr>
      <t>者，所以</t>
    </r>
    <r>
      <rPr>
        <sz val="10"/>
        <color theme="1"/>
        <rFont val="NSimSun"/>
        <family val="3"/>
        <charset val="134"/>
      </rPr>
      <t>发</t>
    </r>
    <r>
      <rPr>
        <sz val="10"/>
        <color theme="1"/>
        <rFont val="Meiryo UI"/>
        <family val="3"/>
        <charset val="128"/>
      </rPr>
      <t>生威</t>
    </r>
    <r>
      <rPr>
        <sz val="10"/>
        <color theme="1"/>
        <rFont val="NSimSun"/>
        <family val="3"/>
        <charset val="134"/>
      </rPr>
      <t>胁</t>
    </r>
    <r>
      <rPr>
        <sz val="10"/>
        <color theme="1"/>
        <rFont val="Meiryo UI"/>
        <family val="3"/>
        <charset val="128"/>
      </rPr>
      <t>的可能性</t>
    </r>
    <r>
      <rPr>
        <sz val="10"/>
        <color theme="1"/>
        <rFont val="NSimSun"/>
        <family val="3"/>
        <charset val="134"/>
      </rPr>
      <t>较</t>
    </r>
    <r>
      <rPr>
        <sz val="10"/>
        <color theme="1"/>
        <rFont val="Meiryo UI"/>
        <family val="3"/>
        <charset val="128"/>
      </rPr>
      <t>低。</t>
    </r>
    <phoneticPr fontId="1"/>
  </si>
  <si>
    <t>脆弱性
Vulnerability Class
漏洞类别</t>
  </si>
  <si>
    <t>不具合やミスが原因となった場合の情報セキュリティの安全性</t>
    <rPh sb="0" eb="3">
      <t>フグアイ</t>
    </rPh>
    <rPh sb="7" eb="9">
      <t>ゲンイン</t>
    </rPh>
    <rPh sb="13" eb="15">
      <t>バアイ</t>
    </rPh>
    <rPh sb="16" eb="18">
      <t>ジョウホウ</t>
    </rPh>
    <rPh sb="25" eb="28">
      <t>アンゼンセイ</t>
    </rPh>
    <phoneticPr fontId="1"/>
  </si>
  <si>
    <t>Safety of information security in case of malfunction or mistake</t>
  </si>
  <si>
    <r>
      <t>发生故障或</t>
    </r>
    <r>
      <rPr>
        <b/>
        <sz val="12"/>
        <color theme="1"/>
        <rFont val="NSimSun"/>
        <family val="3"/>
        <charset val="134"/>
      </rPr>
      <t>错误时</t>
    </r>
    <r>
      <rPr>
        <b/>
        <sz val="12"/>
        <color theme="1"/>
        <rFont val="Meiryo UI"/>
        <family val="3"/>
        <charset val="128"/>
      </rPr>
      <t>的信息安全</t>
    </r>
    <r>
      <rPr>
        <b/>
        <sz val="12"/>
        <color theme="1"/>
        <rFont val="NSimSun"/>
        <family val="3"/>
        <charset val="134"/>
      </rPr>
      <t>问题</t>
    </r>
    <r>
      <rPr>
        <b/>
        <sz val="12"/>
        <color theme="1"/>
        <rFont val="Meiryo UI"/>
        <family val="3"/>
        <charset val="128"/>
      </rPr>
      <t>。</t>
    </r>
  </si>
  <si>
    <t>脆弱性対策が行われておらず、脅威の発生に伴い被害を生じる可能性が高い</t>
    <rPh sb="0" eb="3">
      <t>ゼイジャクセイ</t>
    </rPh>
    <rPh sb="3" eb="5">
      <t>タイサク</t>
    </rPh>
    <rPh sb="6" eb="7">
      <t>オコナ</t>
    </rPh>
    <rPh sb="14" eb="16">
      <t>キョウイ</t>
    </rPh>
    <rPh sb="17" eb="19">
      <t>ハッセイ</t>
    </rPh>
    <rPh sb="20" eb="21">
      <t>トモナ</t>
    </rPh>
    <rPh sb="22" eb="24">
      <t>ヒガイ</t>
    </rPh>
    <rPh sb="25" eb="26">
      <t>ショウ</t>
    </rPh>
    <rPh sb="28" eb="31">
      <t>カノウセイ</t>
    </rPh>
    <rPh sb="32" eb="33">
      <t>タカ</t>
    </rPh>
    <phoneticPr fontId="1"/>
  </si>
  <si>
    <t>Countermeasures are not implemented. There is a high possibility of damage caused by the occurrence of threats.</t>
    <phoneticPr fontId="1"/>
  </si>
  <si>
    <r>
      <t>反措施没有</t>
    </r>
    <r>
      <rPr>
        <sz val="10"/>
        <color theme="1"/>
        <rFont val="NSimSun"/>
        <family val="3"/>
        <charset val="134"/>
      </rPr>
      <t>实</t>
    </r>
    <r>
      <rPr>
        <sz val="10"/>
        <color theme="1"/>
        <rFont val="Meiryo UI"/>
        <family val="3"/>
        <charset val="128"/>
      </rPr>
      <t>施。很有可能因威</t>
    </r>
    <r>
      <rPr>
        <sz val="10"/>
        <color theme="1"/>
        <rFont val="NSimSun"/>
        <family val="3"/>
        <charset val="134"/>
      </rPr>
      <t>胁</t>
    </r>
    <r>
      <rPr>
        <sz val="10"/>
        <color theme="1"/>
        <rFont val="Meiryo UI"/>
        <family val="3"/>
        <charset val="128"/>
      </rPr>
      <t>的</t>
    </r>
    <r>
      <rPr>
        <sz val="10"/>
        <color theme="1"/>
        <rFont val="NSimSun"/>
        <family val="3"/>
        <charset val="134"/>
      </rPr>
      <t>发</t>
    </r>
    <r>
      <rPr>
        <sz val="10"/>
        <color theme="1"/>
        <rFont val="Meiryo UI"/>
        <family val="3"/>
        <charset val="128"/>
      </rPr>
      <t>生而造成</t>
    </r>
    <r>
      <rPr>
        <sz val="10"/>
        <color theme="1"/>
        <rFont val="NSimSun"/>
        <family val="3"/>
        <charset val="134"/>
      </rPr>
      <t>损</t>
    </r>
    <r>
      <rPr>
        <sz val="10"/>
        <color theme="1"/>
        <rFont val="Meiryo UI"/>
        <family val="3"/>
        <charset val="128"/>
      </rPr>
      <t>失。</t>
    </r>
    <phoneticPr fontId="1"/>
  </si>
  <si>
    <t>脆弱性対策が一部に留まっており、脅威の発生に伴い被害を生じる可能性が中程度</t>
    <rPh sb="0" eb="3">
      <t>ゼイジャクセイ</t>
    </rPh>
    <rPh sb="3" eb="5">
      <t>タイサク</t>
    </rPh>
    <rPh sb="6" eb="8">
      <t>イチブ</t>
    </rPh>
    <rPh sb="9" eb="10">
      <t>トド</t>
    </rPh>
    <rPh sb="16" eb="18">
      <t>キョウイ</t>
    </rPh>
    <rPh sb="19" eb="21">
      <t>ハッセイ</t>
    </rPh>
    <rPh sb="22" eb="23">
      <t>トモナ</t>
    </rPh>
    <rPh sb="24" eb="26">
      <t>ヒガイ</t>
    </rPh>
    <rPh sb="27" eb="28">
      <t>ショウ</t>
    </rPh>
    <rPh sb="30" eb="33">
      <t>カノウセイ</t>
    </rPh>
    <rPh sb="34" eb="37">
      <t>チュウテイド</t>
    </rPh>
    <phoneticPr fontId="1"/>
  </si>
  <si>
    <t>Countermeasures are only partially implemented. There is a moderate possibility of causing damage in the event of a threat.</t>
    <phoneticPr fontId="1"/>
  </si>
  <si>
    <r>
      <rPr>
        <sz val="10"/>
        <color theme="1"/>
        <rFont val="NSimSun"/>
        <family val="3"/>
        <charset val="134"/>
      </rPr>
      <t>应对</t>
    </r>
    <r>
      <rPr>
        <sz val="10"/>
        <color theme="1"/>
        <rFont val="Meiryo UI"/>
        <family val="3"/>
        <charset val="128"/>
      </rPr>
      <t>措施只</t>
    </r>
    <r>
      <rPr>
        <sz val="10"/>
        <color theme="1"/>
        <rFont val="NSimSun"/>
        <family val="3"/>
        <charset val="134"/>
      </rPr>
      <t>实</t>
    </r>
    <r>
      <rPr>
        <sz val="10"/>
        <color theme="1"/>
        <rFont val="Meiryo UI"/>
        <family val="3"/>
        <charset val="128"/>
      </rPr>
      <t>施了一部分。</t>
    </r>
    <r>
      <rPr>
        <sz val="10"/>
        <color theme="1"/>
        <rFont val="NSimSun"/>
        <family val="3"/>
        <charset val="134"/>
      </rPr>
      <t>发</t>
    </r>
    <r>
      <rPr>
        <sz val="10"/>
        <color theme="1"/>
        <rFont val="Meiryo UI"/>
        <family val="3"/>
        <charset val="128"/>
      </rPr>
      <t>生威</t>
    </r>
    <r>
      <rPr>
        <sz val="10"/>
        <color theme="1"/>
        <rFont val="NSimSun"/>
        <family val="3"/>
        <charset val="134"/>
      </rPr>
      <t>胁时</t>
    </r>
    <r>
      <rPr>
        <sz val="10"/>
        <color theme="1"/>
        <rFont val="Meiryo UI"/>
        <family val="3"/>
        <charset val="128"/>
      </rPr>
      <t>造成</t>
    </r>
    <r>
      <rPr>
        <sz val="10"/>
        <color theme="1"/>
        <rFont val="NSimSun"/>
        <family val="3"/>
        <charset val="134"/>
      </rPr>
      <t>损</t>
    </r>
    <r>
      <rPr>
        <sz val="10"/>
        <color theme="1"/>
        <rFont val="Meiryo UI"/>
        <family val="3"/>
        <charset val="128"/>
      </rPr>
      <t>害的可能性中等。</t>
    </r>
    <phoneticPr fontId="1"/>
  </si>
  <si>
    <t>脆弱性対策が充分行われており、脅威が発生しても被害が生じる可能性が低い</t>
    <rPh sb="0" eb="3">
      <t>ゼイジャクセイ</t>
    </rPh>
    <rPh sb="3" eb="5">
      <t>タイサク</t>
    </rPh>
    <rPh sb="6" eb="8">
      <t>ジュウブン</t>
    </rPh>
    <rPh sb="8" eb="9">
      <t>オコナ</t>
    </rPh>
    <rPh sb="15" eb="17">
      <t>キョウイ</t>
    </rPh>
    <rPh sb="18" eb="20">
      <t>ハッセイ</t>
    </rPh>
    <rPh sb="23" eb="25">
      <t>ヒガイ</t>
    </rPh>
    <rPh sb="26" eb="27">
      <t>ショウ</t>
    </rPh>
    <rPh sb="29" eb="32">
      <t>カノウセイ</t>
    </rPh>
    <rPh sb="33" eb="34">
      <t>ヒク</t>
    </rPh>
    <phoneticPr fontId="1"/>
  </si>
  <si>
    <t>Countermeasures are sufficiently effective, and the threat is unlikely to cause damage.</t>
    <phoneticPr fontId="1"/>
  </si>
  <si>
    <r>
      <rPr>
        <sz val="10"/>
        <color theme="1"/>
        <rFont val="NSimSun"/>
        <family val="3"/>
        <charset val="134"/>
      </rPr>
      <t>应对</t>
    </r>
    <r>
      <rPr>
        <sz val="10"/>
        <color theme="1"/>
        <rFont val="Meiryo UI"/>
        <family val="3"/>
        <charset val="128"/>
      </rPr>
      <t>措施足</t>
    </r>
    <r>
      <rPr>
        <sz val="10"/>
        <color theme="1"/>
        <rFont val="NSimSun"/>
        <family val="3"/>
        <charset val="134"/>
      </rPr>
      <t>够</t>
    </r>
    <r>
      <rPr>
        <sz val="10"/>
        <color theme="1"/>
        <rFont val="Meiryo UI"/>
        <family val="3"/>
        <charset val="128"/>
      </rPr>
      <t>有效，威</t>
    </r>
    <r>
      <rPr>
        <sz val="10"/>
        <color theme="1"/>
        <rFont val="NSimSun"/>
        <family val="3"/>
        <charset val="134"/>
      </rPr>
      <t>胁</t>
    </r>
    <r>
      <rPr>
        <sz val="10"/>
        <color theme="1"/>
        <rFont val="Meiryo UI"/>
        <family val="3"/>
        <charset val="128"/>
      </rPr>
      <t>造成</t>
    </r>
    <r>
      <rPr>
        <sz val="10"/>
        <color theme="1"/>
        <rFont val="NSimSun"/>
        <family val="3"/>
        <charset val="134"/>
      </rPr>
      <t>损</t>
    </r>
    <r>
      <rPr>
        <sz val="10"/>
        <color theme="1"/>
        <rFont val="Meiryo UI"/>
        <family val="3"/>
        <charset val="128"/>
      </rPr>
      <t>害的可能性不大。</t>
    </r>
    <phoneticPr fontId="1"/>
  </si>
  <si>
    <t>被害発生可能性
Damage occurance Probability
损害发生概率</t>
  </si>
  <si>
    <t>脅威 ー 脆弱性　（ただし、最小値は１)</t>
    <rPh sb="0" eb="2">
      <t>キョウイ</t>
    </rPh>
    <rPh sb="5" eb="8">
      <t>ゼイジャクセイ</t>
    </rPh>
    <rPh sb="14" eb="17">
      <t>サイショウチ</t>
    </rPh>
    <phoneticPr fontId="1"/>
  </si>
  <si>
    <t>台帳上の計算式=MAXA(P2-Q2,1)</t>
    <rPh sb="0" eb="2">
      <t>ダイチョウ</t>
    </rPh>
    <rPh sb="2" eb="3">
      <t>ジョウ</t>
    </rPh>
    <rPh sb="4" eb="7">
      <t>ケイサンシキ</t>
    </rPh>
    <phoneticPr fontId="1"/>
  </si>
  <si>
    <t xml:space="preserve">Threat - Vulnerability (Minimum value is 1) </t>
    <phoneticPr fontId="1"/>
  </si>
  <si>
    <t>Ledger formula = MAXA(P2-Q2,1)</t>
    <phoneticPr fontId="1"/>
  </si>
  <si>
    <r>
      <t>威</t>
    </r>
    <r>
      <rPr>
        <b/>
        <sz val="12"/>
        <color theme="1"/>
        <rFont val="NSimSun"/>
        <family val="3"/>
        <charset val="134"/>
      </rPr>
      <t>胁</t>
    </r>
    <r>
      <rPr>
        <b/>
        <sz val="12"/>
        <color theme="1"/>
        <rFont val="Meiryo UI"/>
        <family val="3"/>
        <charset val="128"/>
      </rPr>
      <t>--脆弱性（最小</t>
    </r>
    <r>
      <rPr>
        <b/>
        <sz val="12"/>
        <color theme="1"/>
        <rFont val="Microsoft JhengHei"/>
        <family val="2"/>
        <charset val="136"/>
      </rPr>
      <t>值</t>
    </r>
    <r>
      <rPr>
        <b/>
        <sz val="12"/>
        <color theme="1"/>
        <rFont val="NSimSun"/>
        <family val="3"/>
        <charset val="134"/>
      </rPr>
      <t>为</t>
    </r>
    <r>
      <rPr>
        <b/>
        <sz val="12"/>
        <color theme="1"/>
        <rFont val="Meiryo UI"/>
        <family val="3"/>
        <charset val="128"/>
      </rPr>
      <t xml:space="preserve">1） </t>
    </r>
    <phoneticPr fontId="1"/>
  </si>
  <si>
    <t>账本公式=MAXA(P2-Q2,1)</t>
    <phoneticPr fontId="1"/>
  </si>
  <si>
    <t>リスク値
Risk
風險</t>
  </si>
  <si>
    <t>重要度 x 被害発生可能性</t>
    <rPh sb="0" eb="3">
      <t>ジュウヨウド</t>
    </rPh>
    <rPh sb="6" eb="8">
      <t>ヒガイ</t>
    </rPh>
    <rPh sb="8" eb="10">
      <t>ハッセイ</t>
    </rPh>
    <rPh sb="10" eb="13">
      <t>カノウセイ</t>
    </rPh>
    <phoneticPr fontId="1"/>
  </si>
  <si>
    <t>台帳上の計算式　=O2*R2</t>
    <rPh sb="0" eb="2">
      <t>ダイチョウ</t>
    </rPh>
    <rPh sb="2" eb="3">
      <t>ジョウ</t>
    </rPh>
    <rPh sb="4" eb="6">
      <t>ケイサン</t>
    </rPh>
    <rPh sb="6" eb="7">
      <t>シキ</t>
    </rPh>
    <phoneticPr fontId="1"/>
  </si>
  <si>
    <t xml:space="preserve">Importance x Likelihood of damage </t>
    <phoneticPr fontId="1"/>
  </si>
  <si>
    <t>Ledger formula=O2*R2</t>
    <phoneticPr fontId="1"/>
  </si>
  <si>
    <r>
      <t>重要性×</t>
    </r>
    <r>
      <rPr>
        <b/>
        <sz val="12"/>
        <color theme="1"/>
        <rFont val="NSimSun"/>
        <family val="3"/>
        <charset val="134"/>
      </rPr>
      <t>损</t>
    </r>
    <r>
      <rPr>
        <b/>
        <sz val="12"/>
        <color theme="1"/>
        <rFont val="Meiryo UI"/>
        <family val="3"/>
        <charset val="128"/>
      </rPr>
      <t>害的可能性 分</t>
    </r>
    <r>
      <rPr>
        <b/>
        <sz val="12"/>
        <color theme="1"/>
        <rFont val="NSimSun"/>
        <family val="3"/>
        <charset val="134"/>
      </rPr>
      <t>类</t>
    </r>
    <phoneticPr fontId="1"/>
  </si>
  <si>
    <t>账公式=O2*R2</t>
    <phoneticPr fontId="1"/>
  </si>
  <si>
    <t>　　リスク値：1-3:低 / 4-6:中 / 8-12:高
 　　　　　　 : 4以上は許容不可、IS-APM02-F10 でリスト化し監視</t>
    <rPh sb="5" eb="6">
      <t>アタイ</t>
    </rPh>
    <rPh sb="11" eb="12">
      <t>ヒク</t>
    </rPh>
    <rPh sb="19" eb="20">
      <t>チュウ</t>
    </rPh>
    <rPh sb="28" eb="29">
      <t>コウ</t>
    </rPh>
    <rPh sb="41" eb="43">
      <t>イジョウ</t>
    </rPh>
    <rPh sb="44" eb="46">
      <t>キョヨウ</t>
    </rPh>
    <rPh sb="46" eb="48">
      <t>フカ</t>
    </rPh>
    <rPh sb="66" eb="67">
      <t>カ</t>
    </rPh>
    <rPh sb="68" eb="70">
      <t>カンシ</t>
    </rPh>
    <phoneticPr fontId="1"/>
  </si>
  <si>
    <t xml:space="preserve">   Risk : 1-3:Low / 4-6:Medium / 8-12:High
            : Over 4 is unacceptable, Listing and observing with IS-APM02-F10</t>
    <phoneticPr fontId="1"/>
  </si>
  <si>
    <r>
      <t xml:space="preserve">   </t>
    </r>
    <r>
      <rPr>
        <sz val="10"/>
        <rFont val="Microsoft YaHei"/>
        <family val="3"/>
        <charset val="134"/>
      </rPr>
      <t>风险</t>
    </r>
    <r>
      <rPr>
        <sz val="10"/>
        <rFont val="Meiryo UI"/>
        <family val="3"/>
        <charset val="128"/>
      </rPr>
      <t>：1-3:低 / 4-6:中 / 8-12:高
         ：</t>
    </r>
    <r>
      <rPr>
        <sz val="10"/>
        <rFont val="Microsoft YaHei"/>
        <family val="3"/>
        <charset val="134"/>
      </rPr>
      <t>4及以上为不可接受，使用IS-APM02-F10列出并监控</t>
    </r>
    <phoneticPr fontId="1"/>
  </si>
  <si>
    <t>取得・運用認定
Acceptance/Operational Approval
验收/业务批准</t>
  </si>
  <si>
    <t xml:space="preserve">開発完了 or 取得後のシステム運用開始認定状況。
システム運用の初期設定の強度レベルや具体的実施内容。
</t>
    <rPh sb="0" eb="2">
      <t>カイハツ</t>
    </rPh>
    <rPh sb="2" eb="4">
      <t>カンリョウ</t>
    </rPh>
    <rPh sb="8" eb="10">
      <t>シュトク</t>
    </rPh>
    <rPh sb="10" eb="11">
      <t>ゴ</t>
    </rPh>
    <rPh sb="16" eb="18">
      <t>ウンヨウ</t>
    </rPh>
    <rPh sb="18" eb="20">
      <t>カイシ</t>
    </rPh>
    <rPh sb="20" eb="22">
      <t>ニンテイ</t>
    </rPh>
    <rPh sb="22" eb="24">
      <t>ジョウキョウ</t>
    </rPh>
    <rPh sb="30" eb="32">
      <t>ウンヨウ</t>
    </rPh>
    <rPh sb="33" eb="35">
      <t>ショキ</t>
    </rPh>
    <rPh sb="35" eb="37">
      <t>セッテイ</t>
    </rPh>
    <phoneticPr fontId="1"/>
  </si>
  <si>
    <t>Status of certification to start system operation after development is completed or acquired.
The strength level and specific implementation of the initial system operation.</t>
    <phoneticPr fontId="1"/>
  </si>
  <si>
    <r>
      <t>开</t>
    </r>
    <r>
      <rPr>
        <b/>
        <sz val="12"/>
        <color theme="1"/>
        <rFont val="NSimSun"/>
        <family val="3"/>
        <charset val="134"/>
      </rPr>
      <t>发</t>
    </r>
    <r>
      <rPr>
        <b/>
        <sz val="12"/>
        <color theme="1"/>
        <rFont val="Meiryo UI"/>
        <family val="3"/>
        <charset val="128"/>
      </rPr>
      <t>完成或</t>
    </r>
    <r>
      <rPr>
        <b/>
        <sz val="12"/>
        <color theme="1"/>
        <rFont val="NSimSun"/>
        <family val="3"/>
        <charset val="134"/>
      </rPr>
      <t>获</t>
    </r>
    <r>
      <rPr>
        <b/>
        <sz val="12"/>
        <color theme="1"/>
        <rFont val="Meiryo UI"/>
        <family val="3"/>
        <charset val="128"/>
      </rPr>
      <t>得</t>
    </r>
    <r>
      <rPr>
        <b/>
        <sz val="12"/>
        <color theme="1"/>
        <rFont val="NSimSun"/>
        <family val="3"/>
        <charset val="134"/>
      </rPr>
      <t>认证</t>
    </r>
    <r>
      <rPr>
        <b/>
        <sz val="12"/>
        <color theme="1"/>
        <rFont val="Meiryo UI"/>
        <family val="3"/>
        <charset val="128"/>
      </rPr>
      <t>后开始系</t>
    </r>
    <r>
      <rPr>
        <b/>
        <sz val="12"/>
        <color theme="1"/>
        <rFont val="NSimSun"/>
        <family val="3"/>
        <charset val="134"/>
      </rPr>
      <t>统</t>
    </r>
    <r>
      <rPr>
        <b/>
        <sz val="12"/>
        <color theme="1"/>
        <rFont val="Meiryo UI"/>
        <family val="3"/>
        <charset val="128"/>
      </rPr>
      <t>运行的状况。 初期系</t>
    </r>
    <r>
      <rPr>
        <b/>
        <sz val="12"/>
        <color theme="1"/>
        <rFont val="Microsoft JhengHei"/>
        <family val="2"/>
        <charset val="136"/>
      </rPr>
      <t>统</t>
    </r>
    <r>
      <rPr>
        <b/>
        <sz val="12"/>
        <color theme="1"/>
        <rFont val="NSimSun"/>
        <family val="3"/>
        <charset val="134"/>
      </rPr>
      <t>运</t>
    </r>
    <r>
      <rPr>
        <b/>
        <sz val="12"/>
        <color theme="1"/>
        <rFont val="Meiryo UI"/>
        <family val="3"/>
        <charset val="128"/>
      </rPr>
      <t>行的</t>
    </r>
    <r>
      <rPr>
        <b/>
        <sz val="12"/>
        <color theme="1"/>
        <rFont val="Microsoft JhengHei"/>
        <family val="2"/>
        <charset val="136"/>
      </rPr>
      <t>实</t>
    </r>
    <r>
      <rPr>
        <b/>
        <sz val="12"/>
        <color theme="1"/>
        <rFont val="NSimSun"/>
        <family val="3"/>
        <charset val="134"/>
      </rPr>
      <t>力</t>
    </r>
    <r>
      <rPr>
        <b/>
        <sz val="12"/>
        <color theme="1"/>
        <rFont val="Meiryo UI"/>
        <family val="3"/>
        <charset val="128"/>
      </rPr>
      <t>水平和具体</t>
    </r>
    <r>
      <rPr>
        <b/>
        <sz val="12"/>
        <color theme="1"/>
        <rFont val="Microsoft JhengHei"/>
        <family val="2"/>
        <charset val="136"/>
      </rPr>
      <t>实</t>
    </r>
    <r>
      <rPr>
        <b/>
        <sz val="12"/>
        <color theme="1"/>
        <rFont val="NSimSun"/>
        <family val="3"/>
        <charset val="134"/>
      </rPr>
      <t>施</t>
    </r>
    <r>
      <rPr>
        <b/>
        <sz val="12"/>
        <color theme="1"/>
        <rFont val="Microsoft YaHei"/>
        <family val="3"/>
        <charset val="134"/>
      </rPr>
      <t>情况。</t>
    </r>
    <phoneticPr fontId="1"/>
  </si>
  <si>
    <t>　（認証、ウィルス対策、バックアップ、ネットワーク分離選択・制御等）</t>
    <phoneticPr fontId="1"/>
  </si>
  <si>
    <r>
      <rPr>
        <sz val="10"/>
        <color theme="1"/>
        <rFont val="Meiryo UI"/>
        <family val="3"/>
        <charset val="128"/>
      </rPr>
      <t>　</t>
    </r>
    <r>
      <rPr>
        <sz val="10"/>
        <color theme="1"/>
        <rFont val="Arial"/>
        <family val="2"/>
      </rPr>
      <t>(Authentication, anti-virus, backup, network isolation selection/control, etc.)</t>
    </r>
  </si>
  <si>
    <r>
      <t>　(</t>
    </r>
    <r>
      <rPr>
        <sz val="10"/>
        <color theme="1"/>
        <rFont val="NSimSun"/>
        <family val="3"/>
        <charset val="134"/>
      </rPr>
      <t>认证</t>
    </r>
    <r>
      <rPr>
        <sz val="10"/>
        <color theme="1"/>
        <rFont val="Meiryo UI"/>
        <family val="3"/>
        <charset val="128"/>
      </rPr>
      <t>、防病毒、</t>
    </r>
    <r>
      <rPr>
        <sz val="10"/>
        <color theme="1"/>
        <rFont val="NSimSun"/>
        <family val="3"/>
        <charset val="134"/>
      </rPr>
      <t>备</t>
    </r>
    <r>
      <rPr>
        <sz val="10"/>
        <color theme="1"/>
        <rFont val="Meiryo UI"/>
        <family val="3"/>
        <charset val="128"/>
      </rPr>
      <t>份、网</t>
    </r>
    <r>
      <rPr>
        <sz val="10"/>
        <color theme="1"/>
        <rFont val="NSimSun"/>
        <family val="3"/>
        <charset val="134"/>
      </rPr>
      <t>络</t>
    </r>
    <r>
      <rPr>
        <sz val="10"/>
        <color theme="1"/>
        <rFont val="Meiryo UI"/>
        <family val="3"/>
        <charset val="128"/>
      </rPr>
      <t>隔离</t>
    </r>
    <r>
      <rPr>
        <sz val="10"/>
        <color theme="1"/>
        <rFont val="NSimSun"/>
        <family val="3"/>
        <charset val="134"/>
      </rPr>
      <t>选择</t>
    </r>
    <r>
      <rPr>
        <sz val="10"/>
        <color theme="1"/>
        <rFont val="Meiryo UI"/>
        <family val="3"/>
        <charset val="128"/>
      </rPr>
      <t>/控制等)</t>
    </r>
  </si>
  <si>
    <t>システム
保守運用記録
System Operation Record
系统操作记录</t>
  </si>
  <si>
    <t>保守や運用時の記録（イベントログ対応、不具合対処内容、脆弱性対応パッチ、対応者）　　（別帳票参照でも可）</t>
    <rPh sb="0" eb="2">
      <t>ホシュ</t>
    </rPh>
    <rPh sb="3" eb="5">
      <t>ウンヨウ</t>
    </rPh>
    <rPh sb="5" eb="6">
      <t>ジ</t>
    </rPh>
    <rPh sb="7" eb="9">
      <t>キロク</t>
    </rPh>
    <rPh sb="16" eb="18">
      <t>タイオウ</t>
    </rPh>
    <rPh sb="19" eb="22">
      <t>フグアイ</t>
    </rPh>
    <rPh sb="22" eb="24">
      <t>タイショ</t>
    </rPh>
    <rPh sb="24" eb="26">
      <t>ナイヨウ</t>
    </rPh>
    <rPh sb="27" eb="30">
      <t>ゼイジャクセイ</t>
    </rPh>
    <rPh sb="30" eb="32">
      <t>タイオウ</t>
    </rPh>
    <rPh sb="36" eb="38">
      <t>タイオウ</t>
    </rPh>
    <rPh sb="38" eb="39">
      <t>シャ</t>
    </rPh>
    <rPh sb="43" eb="44">
      <t>ベツ</t>
    </rPh>
    <rPh sb="44" eb="46">
      <t>チョウヒョウ</t>
    </rPh>
    <rPh sb="46" eb="48">
      <t>サンショウ</t>
    </rPh>
    <rPh sb="50" eb="51">
      <t>カ</t>
    </rPh>
    <phoneticPr fontId="1"/>
  </si>
  <si>
    <t>Records of maintenance and operation (event log response, details of problem handling, vulnerability response patches, and responders)    (Reference to a separate form is acceptable)</t>
    <phoneticPr fontId="1"/>
  </si>
  <si>
    <r>
      <t>维护和运行</t>
    </r>
    <r>
      <rPr>
        <b/>
        <sz val="12"/>
        <color theme="1"/>
        <rFont val="NSimSun"/>
        <family val="3"/>
        <charset val="134"/>
      </rPr>
      <t>记录</t>
    </r>
    <r>
      <rPr>
        <b/>
        <sz val="12"/>
        <color theme="1"/>
        <rFont val="Meiryo UI"/>
        <family val="3"/>
        <charset val="128"/>
      </rPr>
      <t>（事件日志响</t>
    </r>
    <r>
      <rPr>
        <b/>
        <sz val="12"/>
        <color theme="1"/>
        <rFont val="NSimSun"/>
        <family val="3"/>
        <charset val="134"/>
      </rPr>
      <t>应</t>
    </r>
    <r>
      <rPr>
        <b/>
        <sz val="12"/>
        <color theme="1"/>
        <rFont val="Meiryo UI"/>
        <family val="3"/>
        <charset val="128"/>
      </rPr>
      <t>、</t>
    </r>
    <r>
      <rPr>
        <b/>
        <sz val="12"/>
        <color theme="1"/>
        <rFont val="NSimSun"/>
        <family val="3"/>
        <charset val="134"/>
      </rPr>
      <t>问题处</t>
    </r>
    <r>
      <rPr>
        <b/>
        <sz val="12"/>
        <color theme="1"/>
        <rFont val="Meiryo UI"/>
        <family val="3"/>
        <charset val="128"/>
      </rPr>
      <t>理</t>
    </r>
    <r>
      <rPr>
        <b/>
        <sz val="12"/>
        <color theme="1"/>
        <rFont val="NSimSun"/>
        <family val="3"/>
        <charset val="134"/>
      </rPr>
      <t>细节</t>
    </r>
    <r>
      <rPr>
        <b/>
        <sz val="12"/>
        <color theme="1"/>
        <rFont val="Meiryo UI"/>
        <family val="3"/>
        <charset val="128"/>
      </rPr>
      <t>、漏洞响</t>
    </r>
    <r>
      <rPr>
        <b/>
        <sz val="12"/>
        <color theme="1"/>
        <rFont val="NSimSun"/>
        <family val="3"/>
        <charset val="134"/>
      </rPr>
      <t>应补</t>
    </r>
    <r>
      <rPr>
        <b/>
        <sz val="12"/>
        <color theme="1"/>
        <rFont val="Meiryo UI"/>
        <family val="3"/>
        <charset val="128"/>
      </rPr>
      <t>丁、响</t>
    </r>
    <r>
      <rPr>
        <b/>
        <sz val="12"/>
        <color theme="1"/>
        <rFont val="NSimSun"/>
        <family val="3"/>
        <charset val="134"/>
      </rPr>
      <t>应</t>
    </r>
    <r>
      <rPr>
        <b/>
        <sz val="12"/>
        <color theme="1"/>
        <rFont val="Meiryo UI"/>
        <family val="3"/>
        <charset val="128"/>
      </rPr>
      <t>者）（参考</t>
    </r>
    <r>
      <rPr>
        <b/>
        <sz val="12"/>
        <color theme="1"/>
        <rFont val="NSimSun"/>
        <family val="3"/>
        <charset val="134"/>
      </rPr>
      <t>单</t>
    </r>
    <r>
      <rPr>
        <b/>
        <sz val="12"/>
        <color theme="1"/>
        <rFont val="Meiryo UI"/>
        <family val="3"/>
        <charset val="128"/>
      </rPr>
      <t>独表格即可）。</t>
    </r>
    <phoneticPr fontId="1"/>
  </si>
  <si>
    <t>最新監査日
Latest Inspection Date
最新检查日期</t>
  </si>
  <si>
    <t>ALAPによるセキュリティ監査日（最新）</t>
    <rPh sb="15" eb="16">
      <t>ビ</t>
    </rPh>
    <rPh sb="17" eb="19">
      <t>サイシン</t>
    </rPh>
    <phoneticPr fontId="1"/>
  </si>
  <si>
    <t>Date of security audit by ALAP (latest)</t>
  </si>
  <si>
    <r>
      <t>ALAP的安全</t>
    </r>
    <r>
      <rPr>
        <b/>
        <sz val="12"/>
        <color theme="1"/>
        <rFont val="NSimSun"/>
        <family val="3"/>
        <charset val="134"/>
      </rPr>
      <t>审计</t>
    </r>
    <r>
      <rPr>
        <b/>
        <sz val="12"/>
        <color theme="1"/>
        <rFont val="Meiryo UI"/>
        <family val="3"/>
        <charset val="128"/>
      </rPr>
      <t>日期(最近一次)</t>
    </r>
  </si>
  <si>
    <t>監査結果
Inspection Result
检验结果</t>
  </si>
  <si>
    <t>上記結果（合格、条件付き合格、不合格　など）</t>
    <rPh sb="0" eb="2">
      <t>ジョウキ</t>
    </rPh>
    <rPh sb="2" eb="4">
      <t>ケッカ</t>
    </rPh>
    <rPh sb="5" eb="7">
      <t>ゴウカク</t>
    </rPh>
    <rPh sb="8" eb="11">
      <t>ジョウケンツ</t>
    </rPh>
    <rPh sb="12" eb="14">
      <t>ゴウカク</t>
    </rPh>
    <rPh sb="15" eb="18">
      <t>フゴウカク</t>
    </rPh>
    <phoneticPr fontId="1"/>
  </si>
  <si>
    <t>Results of the above (passed, conditionally passed, failed, etc.)</t>
  </si>
  <si>
    <r>
      <t>上述</t>
    </r>
    <r>
      <rPr>
        <b/>
        <sz val="12"/>
        <color theme="1"/>
        <rFont val="NSimSun"/>
        <family val="3"/>
        <charset val="134"/>
      </rPr>
      <t>结</t>
    </r>
    <r>
      <rPr>
        <b/>
        <sz val="12"/>
        <color theme="1"/>
        <rFont val="Meiryo UI"/>
        <family val="3"/>
        <charset val="128"/>
      </rPr>
      <t>果（通</t>
    </r>
    <r>
      <rPr>
        <b/>
        <sz val="12"/>
        <color theme="1"/>
        <rFont val="NSimSun"/>
        <family val="3"/>
        <charset val="134"/>
      </rPr>
      <t>过</t>
    </r>
    <r>
      <rPr>
        <b/>
        <sz val="12"/>
        <color theme="1"/>
        <rFont val="Meiryo UI"/>
        <family val="3"/>
        <charset val="128"/>
      </rPr>
      <t>、有条件通</t>
    </r>
    <r>
      <rPr>
        <b/>
        <sz val="12"/>
        <color theme="1"/>
        <rFont val="NSimSun"/>
        <family val="3"/>
        <charset val="134"/>
      </rPr>
      <t>过</t>
    </r>
    <r>
      <rPr>
        <b/>
        <sz val="12"/>
        <color theme="1"/>
        <rFont val="Meiryo UI"/>
        <family val="3"/>
        <charset val="128"/>
      </rPr>
      <t>、不合格等）。</t>
    </r>
  </si>
  <si>
    <t xml:space="preserve">次回監査予定
Planned Inspection Date 
计划检查日期 </t>
    <phoneticPr fontId="1"/>
  </si>
  <si>
    <t>次回のセキュリティ監査予定（定期的実施のこと）</t>
    <rPh sb="0" eb="2">
      <t>ジカイ</t>
    </rPh>
    <rPh sb="11" eb="13">
      <t>ヨテイ</t>
    </rPh>
    <rPh sb="14" eb="17">
      <t>テイキテキ</t>
    </rPh>
    <rPh sb="17" eb="19">
      <t>ジッシ</t>
    </rPh>
    <phoneticPr fontId="1"/>
  </si>
  <si>
    <t>Schedule for next security audit (to be conducted periodically)</t>
  </si>
  <si>
    <r>
      <t>下次安全</t>
    </r>
    <r>
      <rPr>
        <b/>
        <sz val="12"/>
        <color theme="1"/>
        <rFont val="NSimSun"/>
        <family val="3"/>
        <charset val="134"/>
      </rPr>
      <t>审计</t>
    </r>
    <r>
      <rPr>
        <b/>
        <sz val="12"/>
        <color theme="1"/>
        <rFont val="Meiryo UI"/>
        <family val="3"/>
        <charset val="128"/>
      </rPr>
      <t>的</t>
    </r>
    <r>
      <rPr>
        <b/>
        <sz val="12"/>
        <color theme="1"/>
        <rFont val="NSimSun"/>
        <family val="3"/>
        <charset val="134"/>
      </rPr>
      <t>时间</t>
    </r>
    <r>
      <rPr>
        <b/>
        <sz val="12"/>
        <color theme="1"/>
        <rFont val="Meiryo UI"/>
        <family val="3"/>
        <charset val="128"/>
      </rPr>
      <t>表（定期</t>
    </r>
    <r>
      <rPr>
        <b/>
        <sz val="12"/>
        <color theme="1"/>
        <rFont val="NSimSun"/>
        <family val="3"/>
        <charset val="134"/>
      </rPr>
      <t>进</t>
    </r>
    <r>
      <rPr>
        <b/>
        <sz val="12"/>
        <color theme="1"/>
        <rFont val="Meiryo UI"/>
        <family val="3"/>
        <charset val="128"/>
      </rPr>
      <t>行</t>
    </r>
  </si>
  <si>
    <t>インシデント記録
Incident Record
事件记录</t>
    <phoneticPr fontId="1"/>
  </si>
  <si>
    <t>セキュリティ事故が起きたのであればその日付、記録番号</t>
    <rPh sb="6" eb="8">
      <t>ジコ</t>
    </rPh>
    <rPh sb="9" eb="10">
      <t>オ</t>
    </rPh>
    <rPh sb="19" eb="21">
      <t>ヒヅケ</t>
    </rPh>
    <rPh sb="22" eb="24">
      <t>キロク</t>
    </rPh>
    <rPh sb="24" eb="26">
      <t>バンゴウ</t>
    </rPh>
    <phoneticPr fontId="1"/>
  </si>
  <si>
    <t>Date and record number of the security incident, if any</t>
  </si>
  <si>
    <r>
      <t>安全事故的日期和</t>
    </r>
    <r>
      <rPr>
        <b/>
        <sz val="12"/>
        <color theme="1"/>
        <rFont val="NSimSun"/>
        <family val="3"/>
        <charset val="134"/>
      </rPr>
      <t>记录编</t>
    </r>
    <r>
      <rPr>
        <b/>
        <sz val="12"/>
        <color theme="1"/>
        <rFont val="Meiryo UI"/>
        <family val="3"/>
        <charset val="128"/>
      </rPr>
      <t>号(如有)</t>
    </r>
  </si>
  <si>
    <t xml:space="preserve">
</t>
  </si>
  <si>
    <t xml:space="preserve">
＜外部サービス系＞&lt;External Service&gt;&lt;外部服务系统&gt;
</t>
  </si>
  <si>
    <t>契約状況
Contract status
合同状况</t>
  </si>
  <si>
    <t>どのような契約を結んだか</t>
    <rPh sb="5" eb="7">
      <t>ケイヤク</t>
    </rPh>
    <rPh sb="8" eb="9">
      <t>ムス</t>
    </rPh>
    <phoneticPr fontId="1"/>
  </si>
  <si>
    <t>What contracts have been signed?</t>
  </si>
  <si>
    <t>签订了哪些合同？</t>
  </si>
  <si>
    <t>業務分担
Work Division
工作部</t>
  </si>
  <si>
    <t>日常のセキュリティ遵守における互いの活動内容</t>
    <rPh sb="0" eb="2">
      <t>ニチジョウ</t>
    </rPh>
    <rPh sb="9" eb="11">
      <t>ジュンシュ</t>
    </rPh>
    <rPh sb="15" eb="16">
      <t>タガ</t>
    </rPh>
    <rPh sb="18" eb="20">
      <t>カツドウ</t>
    </rPh>
    <rPh sb="20" eb="22">
      <t>ナイヨウ</t>
    </rPh>
    <phoneticPr fontId="1"/>
  </si>
  <si>
    <t>Details of each other's activities in daily security compliance</t>
  </si>
  <si>
    <r>
      <t>彼此在日常安全合</t>
    </r>
    <r>
      <rPr>
        <b/>
        <sz val="12"/>
        <color theme="1"/>
        <rFont val="NSimSun"/>
        <family val="3"/>
        <charset val="134"/>
      </rPr>
      <t>规</t>
    </r>
    <r>
      <rPr>
        <b/>
        <sz val="12"/>
        <color theme="1"/>
        <rFont val="Meiryo UI"/>
        <family val="3"/>
        <charset val="128"/>
      </rPr>
      <t>方面的活</t>
    </r>
    <r>
      <rPr>
        <b/>
        <sz val="12"/>
        <color theme="1"/>
        <rFont val="NSimSun"/>
        <family val="3"/>
        <charset val="134"/>
      </rPr>
      <t>动细节</t>
    </r>
    <r>
      <rPr>
        <b/>
        <sz val="12"/>
        <color theme="1"/>
        <rFont val="Meiryo UI"/>
        <family val="3"/>
        <charset val="128"/>
      </rPr>
      <t>。</t>
    </r>
  </si>
  <si>
    <t>使用状況
Using Status
使用状态</t>
  </si>
  <si>
    <t>使用頻度、ユーザ数概略、など</t>
    <rPh sb="0" eb="4">
      <t>シヨウヒンド</t>
    </rPh>
    <rPh sb="8" eb="9">
      <t>スウ</t>
    </rPh>
    <rPh sb="9" eb="11">
      <t>ガイリャク</t>
    </rPh>
    <phoneticPr fontId="1"/>
  </si>
  <si>
    <t>Frequency of use, approximate number of users, etc.</t>
  </si>
  <si>
    <r>
      <t>使用</t>
    </r>
    <r>
      <rPr>
        <b/>
        <sz val="12"/>
        <color theme="1"/>
        <rFont val="NSimSun"/>
        <family val="3"/>
        <charset val="134"/>
      </rPr>
      <t>频</t>
    </r>
    <r>
      <rPr>
        <b/>
        <sz val="12"/>
        <color theme="1"/>
        <rFont val="Meiryo UI"/>
        <family val="3"/>
        <charset val="128"/>
      </rPr>
      <t>率、大概的用</t>
    </r>
    <r>
      <rPr>
        <b/>
        <sz val="12"/>
        <color theme="1"/>
        <rFont val="NSimSun"/>
        <family val="3"/>
        <charset val="134"/>
      </rPr>
      <t>户</t>
    </r>
    <r>
      <rPr>
        <b/>
        <sz val="12"/>
        <color theme="1"/>
        <rFont val="Meiryo UI"/>
        <family val="3"/>
        <charset val="128"/>
      </rPr>
      <t>数等。</t>
    </r>
  </si>
  <si>
    <t xml:space="preserve">
＜ISMS周知教育展開系＞&lt;ISMS Education&gt;＜ISMS周知教育展开系＞
</t>
  </si>
  <si>
    <t>会社名
Company Name
公司名称</t>
  </si>
  <si>
    <t>相手会社名</t>
    <rPh sb="0" eb="2">
      <t>アイテ</t>
    </rPh>
    <rPh sb="2" eb="5">
      <t>カイシャメイ</t>
    </rPh>
    <phoneticPr fontId="1"/>
  </si>
  <si>
    <t>Name of the other company</t>
  </si>
  <si>
    <t>其他公司的名称</t>
  </si>
  <si>
    <t>取引先名称
Business Partner Name
合作方名称</t>
    <rPh sb="0" eb="3">
      <t>トリヒキサキ</t>
    </rPh>
    <rPh sb="3" eb="5">
      <t>メイショウ</t>
    </rPh>
    <phoneticPr fontId="1"/>
  </si>
  <si>
    <t>組織名
Organization Name
机构名称</t>
  </si>
  <si>
    <t>相手会社の担当組織名</t>
    <rPh sb="0" eb="2">
      <t>アイテ</t>
    </rPh>
    <rPh sb="2" eb="4">
      <t>カイシャ</t>
    </rPh>
    <rPh sb="5" eb="7">
      <t>タントウ</t>
    </rPh>
    <rPh sb="7" eb="10">
      <t>ソシキメイ</t>
    </rPh>
    <phoneticPr fontId="1"/>
  </si>
  <si>
    <t>Name of the organization in charge of the other company</t>
  </si>
  <si>
    <r>
      <t>另一家公司的主管</t>
    </r>
    <r>
      <rPr>
        <b/>
        <sz val="12"/>
        <color theme="1"/>
        <rFont val="NSimSun"/>
        <family val="3"/>
        <charset val="134"/>
      </rPr>
      <t>组织</t>
    </r>
    <r>
      <rPr>
        <b/>
        <sz val="12"/>
        <color theme="1"/>
        <rFont val="Meiryo UI"/>
        <family val="3"/>
        <charset val="128"/>
      </rPr>
      <t>名称：</t>
    </r>
  </si>
  <si>
    <r>
      <t xml:space="preserve">取引先側窓口部門
Contact Department in Business Partner
</t>
    </r>
    <r>
      <rPr>
        <sz val="10"/>
        <color theme="1"/>
        <rFont val="Microsoft YaHei"/>
        <family val="3"/>
        <charset val="134"/>
      </rPr>
      <t>合作方对口部门</t>
    </r>
    <rPh sb="0" eb="3">
      <t>トリヒキサキ</t>
    </rPh>
    <rPh sb="3" eb="4">
      <t>ガワ</t>
    </rPh>
    <rPh sb="4" eb="6">
      <t>マドクチ</t>
    </rPh>
    <rPh sb="6" eb="8">
      <t>ブモン</t>
    </rPh>
    <phoneticPr fontId="1"/>
  </si>
  <si>
    <t xml:space="preserve">役割と目的
Roll and Purpose 
辊子和目的 </t>
  </si>
  <si>
    <t>金型設計／金型製造／部品製造　など、委託業務または取引の内容</t>
    <rPh sb="0" eb="2">
      <t>カナガタ</t>
    </rPh>
    <rPh sb="2" eb="4">
      <t>セッケイ</t>
    </rPh>
    <rPh sb="5" eb="7">
      <t>カナガタ</t>
    </rPh>
    <rPh sb="7" eb="9">
      <t>セイゾウ</t>
    </rPh>
    <rPh sb="18" eb="20">
      <t>イタク</t>
    </rPh>
    <rPh sb="20" eb="22">
      <t>ギョウム</t>
    </rPh>
    <rPh sb="25" eb="27">
      <t>トリヒキ</t>
    </rPh>
    <rPh sb="28" eb="30">
      <t>ナイヨウ</t>
    </rPh>
    <phoneticPr fontId="1"/>
  </si>
  <si>
    <t>Details of outsourced operations/transactions, such as mold design/mold manufacturing/parts manufacturing</t>
    <phoneticPr fontId="1"/>
  </si>
  <si>
    <r>
      <t>模具</t>
    </r>
    <r>
      <rPr>
        <b/>
        <sz val="12"/>
        <color theme="1"/>
        <rFont val="NSimSun"/>
        <family val="3"/>
        <charset val="134"/>
      </rPr>
      <t>设计</t>
    </r>
    <r>
      <rPr>
        <b/>
        <sz val="12"/>
        <color theme="1"/>
        <rFont val="Meiryo UI"/>
        <family val="3"/>
        <charset val="128"/>
      </rPr>
      <t>/模具制造/零部件制造等外包</t>
    </r>
    <r>
      <rPr>
        <b/>
        <sz val="12"/>
        <color theme="1"/>
        <rFont val="NSimSun"/>
        <family val="3"/>
        <charset val="134"/>
      </rPr>
      <t>业务</t>
    </r>
    <r>
      <rPr>
        <b/>
        <sz val="12"/>
        <color theme="1"/>
        <rFont val="Meiryo UI"/>
        <family val="3"/>
        <charset val="128"/>
      </rPr>
      <t>・</t>
    </r>
    <r>
      <rPr>
        <b/>
        <sz val="12"/>
        <color rgb="FFFF0000"/>
        <rFont val="Meiryo UI"/>
        <family val="3"/>
        <charset val="128"/>
      </rPr>
      <t>交易</t>
    </r>
    <r>
      <rPr>
        <b/>
        <sz val="12"/>
        <color theme="1"/>
        <rFont val="Meiryo UI"/>
        <family val="3"/>
        <charset val="128"/>
      </rPr>
      <t>的</t>
    </r>
    <r>
      <rPr>
        <b/>
        <sz val="12"/>
        <color theme="1"/>
        <rFont val="NSimSun"/>
        <family val="3"/>
        <charset val="134"/>
      </rPr>
      <t>详细</t>
    </r>
    <r>
      <rPr>
        <b/>
        <sz val="12"/>
        <color theme="1"/>
        <rFont val="Meiryo UI"/>
        <family val="3"/>
        <charset val="128"/>
      </rPr>
      <t>情况。</t>
    </r>
    <rPh sb="21" eb="23">
      <t>コウエキ</t>
    </rPh>
    <phoneticPr fontId="1"/>
  </si>
  <si>
    <r>
      <t xml:space="preserve">取引・委託の概要
Overview of the Transaction / Outsourcing
</t>
    </r>
    <r>
      <rPr>
        <sz val="10"/>
        <color theme="1"/>
        <rFont val="Microsoft YaHei"/>
        <family val="3"/>
        <charset val="134"/>
      </rPr>
      <t>业务交易与外包概要</t>
    </r>
    <rPh sb="0" eb="2">
      <t>トリヒキ</t>
    </rPh>
    <rPh sb="3" eb="5">
      <t>イタク</t>
    </rPh>
    <rPh sb="6" eb="8">
      <t>ガイヨウ</t>
    </rPh>
    <phoneticPr fontId="1"/>
  </si>
  <si>
    <t>立入り有無と範囲
Presence on Premise and 
Entry Permitted Area
驻地存在・允许进入的区域</t>
    <phoneticPr fontId="1"/>
  </si>
  <si>
    <t>ALAPに立ち入る必要性、立ち入り場所</t>
    <rPh sb="5" eb="6">
      <t>タ</t>
    </rPh>
    <rPh sb="7" eb="8">
      <t>イ</t>
    </rPh>
    <rPh sb="9" eb="11">
      <t>ヒツヨウ</t>
    </rPh>
    <rPh sb="11" eb="12">
      <t>セイ</t>
    </rPh>
    <rPh sb="13" eb="14">
      <t>タ</t>
    </rPh>
    <rPh sb="15" eb="16">
      <t>イ</t>
    </rPh>
    <rPh sb="17" eb="19">
      <t>バショ</t>
    </rPh>
    <phoneticPr fontId="1"/>
  </si>
  <si>
    <t>Necessity and location of access to ALAP</t>
  </si>
  <si>
    <r>
      <t>进入《</t>
    </r>
    <r>
      <rPr>
        <b/>
        <sz val="12"/>
        <color theme="1"/>
        <rFont val="NSimSun"/>
        <family val="3"/>
        <charset val="134"/>
      </rPr>
      <t>亚</t>
    </r>
    <r>
      <rPr>
        <b/>
        <sz val="12"/>
        <color theme="1"/>
        <rFont val="Meiryo UI"/>
        <family val="3"/>
        <charset val="128"/>
      </rPr>
      <t>太行</t>
    </r>
    <r>
      <rPr>
        <b/>
        <sz val="12"/>
        <color theme="1"/>
        <rFont val="NSimSun"/>
        <family val="3"/>
        <charset val="134"/>
      </rPr>
      <t>动计</t>
    </r>
    <r>
      <rPr>
        <b/>
        <sz val="12"/>
        <color theme="1"/>
        <rFont val="Meiryo UI"/>
        <family val="3"/>
        <charset val="128"/>
      </rPr>
      <t>划》的必要性和地点</t>
    </r>
  </si>
  <si>
    <r>
      <t xml:space="preserve">当社主管部門
the department in charge within our company
</t>
    </r>
    <r>
      <rPr>
        <sz val="10"/>
        <color theme="1"/>
        <rFont val="Microsoft YaHei"/>
        <family val="3"/>
        <charset val="134"/>
      </rPr>
      <t>我司主管部门</t>
    </r>
    <rPh sb="0" eb="2">
      <t>トウシャ</t>
    </rPh>
    <rPh sb="2" eb="6">
      <t>シュカンブモン</t>
    </rPh>
    <phoneticPr fontId="1"/>
  </si>
  <si>
    <t>当社主管部門(セキュリティ契約締結部門)</t>
    <rPh sb="0" eb="2">
      <t>トウシャ</t>
    </rPh>
    <rPh sb="2" eb="6">
      <t>シュカンブモン</t>
    </rPh>
    <rPh sb="13" eb="15">
      <t>ケイヤク</t>
    </rPh>
    <rPh sb="15" eb="19">
      <t>テイケツブモン</t>
    </rPh>
    <phoneticPr fontId="1"/>
  </si>
  <si>
    <r>
      <t>セキュリティ責任者
Security Manager
安全</t>
    </r>
    <r>
      <rPr>
        <b/>
        <sz val="11"/>
        <color theme="1"/>
        <rFont val="Microsoft YaHei"/>
        <family val="2"/>
        <charset val="134"/>
      </rPr>
      <t>经</t>
    </r>
    <r>
      <rPr>
        <b/>
        <sz val="11"/>
        <color theme="1"/>
        <rFont val="Meiryo UI"/>
        <family val="3"/>
        <charset val="128"/>
      </rPr>
      <t>理</t>
    </r>
    <phoneticPr fontId="1"/>
  </si>
  <si>
    <t>相手会社のセキュリティ責任者名</t>
    <rPh sb="0" eb="2">
      <t>アイテ</t>
    </rPh>
    <rPh sb="2" eb="4">
      <t>カイシャ</t>
    </rPh>
    <rPh sb="11" eb="14">
      <t>セキニンシャ</t>
    </rPh>
    <rPh sb="14" eb="15">
      <t>メイ</t>
    </rPh>
    <phoneticPr fontId="1"/>
  </si>
  <si>
    <t>Name of the person responsible for security at the other company</t>
  </si>
  <si>
    <r>
      <t>另一家公司</t>
    </r>
    <r>
      <rPr>
        <b/>
        <sz val="12"/>
        <color theme="1"/>
        <rFont val="NSimSun"/>
        <family val="3"/>
        <charset val="134"/>
      </rPr>
      <t>负责</t>
    </r>
    <r>
      <rPr>
        <b/>
        <sz val="12"/>
        <color theme="1"/>
        <rFont val="Meiryo UI"/>
        <family val="3"/>
        <charset val="128"/>
      </rPr>
      <t>安全的人</t>
    </r>
    <r>
      <rPr>
        <b/>
        <sz val="12"/>
        <color theme="1"/>
        <rFont val="NSimSun"/>
        <family val="3"/>
        <charset val="134"/>
      </rPr>
      <t>员</t>
    </r>
    <r>
      <rPr>
        <b/>
        <sz val="12"/>
        <color theme="1"/>
        <rFont val="Meiryo UI"/>
        <family val="3"/>
        <charset val="128"/>
      </rPr>
      <t>姓名</t>
    </r>
  </si>
  <si>
    <t>セキュリティ契約締結日
Date of the Security Contract
担保合同日期</t>
    <phoneticPr fontId="1"/>
  </si>
  <si>
    <t>相手会社とのセキュリティ契約締結日（NDA、あるいは情報セキュリティに関する契約）</t>
    <rPh sb="0" eb="2">
      <t>アイテ</t>
    </rPh>
    <rPh sb="2" eb="4">
      <t>カイシャ</t>
    </rPh>
    <rPh sb="12" eb="14">
      <t>ケイヤク</t>
    </rPh>
    <rPh sb="14" eb="17">
      <t>テイケツビ</t>
    </rPh>
    <rPh sb="26" eb="28">
      <t>ジョウホウ</t>
    </rPh>
    <rPh sb="35" eb="36">
      <t>カン</t>
    </rPh>
    <rPh sb="38" eb="40">
      <t>ケイヤク</t>
    </rPh>
    <phoneticPr fontId="1"/>
  </si>
  <si>
    <t>Date of conclusion of security agreement with the other company (NDA or information security agreement)</t>
  </si>
  <si>
    <r>
      <t>与</t>
    </r>
    <r>
      <rPr>
        <b/>
        <sz val="12"/>
        <color theme="1"/>
        <rFont val="NSimSun"/>
        <family val="3"/>
        <charset val="134"/>
      </rPr>
      <t>对</t>
    </r>
    <r>
      <rPr>
        <b/>
        <sz val="12"/>
        <color theme="1"/>
        <rFont val="Meiryo UI"/>
        <family val="3"/>
        <charset val="128"/>
      </rPr>
      <t>方公司</t>
    </r>
    <r>
      <rPr>
        <b/>
        <sz val="12"/>
        <color theme="1"/>
        <rFont val="NSimSun"/>
        <family val="3"/>
        <charset val="134"/>
      </rPr>
      <t>签订</t>
    </r>
    <r>
      <rPr>
        <b/>
        <sz val="12"/>
        <color theme="1"/>
        <rFont val="Meiryo UI"/>
        <family val="3"/>
        <charset val="128"/>
      </rPr>
      <t>安全</t>
    </r>
    <r>
      <rPr>
        <b/>
        <sz val="12"/>
        <color theme="1"/>
        <rFont val="NSimSun"/>
        <family val="3"/>
        <charset val="134"/>
      </rPr>
      <t>协议</t>
    </r>
    <r>
      <rPr>
        <b/>
        <sz val="12"/>
        <color theme="1"/>
        <rFont val="Meiryo UI"/>
        <family val="3"/>
        <charset val="128"/>
      </rPr>
      <t>的日期（NDA或信息安全</t>
    </r>
    <r>
      <rPr>
        <b/>
        <sz val="12"/>
        <color theme="1"/>
        <rFont val="NSimSun"/>
        <family val="3"/>
        <charset val="134"/>
      </rPr>
      <t>协议</t>
    </r>
    <r>
      <rPr>
        <b/>
        <sz val="12"/>
        <color theme="1"/>
        <rFont val="Meiryo UI"/>
        <family val="3"/>
        <charset val="128"/>
      </rPr>
      <t>）。</t>
    </r>
  </si>
  <si>
    <t xml:space="preserve">ISMS最新周知教育日
Latest informed date of the ISMS 
ISMS的最新通知日期 </t>
    <phoneticPr fontId="1"/>
  </si>
  <si>
    <t>ALAP-ISMSを周知教育した日（最新）</t>
    <rPh sb="16" eb="17">
      <t>ヒ</t>
    </rPh>
    <rPh sb="18" eb="20">
      <t>サイシン</t>
    </rPh>
    <phoneticPr fontId="1"/>
  </si>
  <si>
    <t>Date of ALAP-ISMS awareness training (latest)</t>
  </si>
  <si>
    <r>
      <t>ALAP-ISMS</t>
    </r>
    <r>
      <rPr>
        <b/>
        <sz val="12"/>
        <color theme="1"/>
        <rFont val="NSimSun"/>
        <family val="3"/>
        <charset val="134"/>
      </rPr>
      <t>认识</t>
    </r>
    <r>
      <rPr>
        <b/>
        <sz val="12"/>
        <color theme="1"/>
        <rFont val="Meiryo UI"/>
        <family val="3"/>
        <charset val="128"/>
      </rPr>
      <t>培</t>
    </r>
    <r>
      <rPr>
        <b/>
        <sz val="12"/>
        <color theme="1"/>
        <rFont val="NSimSun"/>
        <family val="3"/>
        <charset val="134"/>
      </rPr>
      <t>训</t>
    </r>
    <r>
      <rPr>
        <b/>
        <sz val="12"/>
        <color theme="1"/>
        <rFont val="Meiryo UI"/>
        <family val="3"/>
        <charset val="128"/>
      </rPr>
      <t>的日期（最新）</t>
    </r>
  </si>
  <si>
    <t>次回監査予定
Planned Inspection Date
计划检查日期</t>
    <phoneticPr fontId="1"/>
  </si>
  <si>
    <t>インシデント記録
Incidnet Record
Incidnet记录</t>
    <phoneticPr fontId="1"/>
  </si>
  <si>
    <t xml:space="preserve">プロトタイプ保護の対象となる場合(この会社で試作品が作られたり、試作品・試作品情報が渡る場合)
</t>
  </si>
  <si>
    <t>If  prototype protection required
 (if the prototype is made by this company or if the prototype or prototype information is passed on)</t>
    <phoneticPr fontId="1"/>
  </si>
  <si>
    <r>
      <t>如果需要保</t>
    </r>
    <r>
      <rPr>
        <b/>
        <sz val="10"/>
        <color theme="1"/>
        <rFont val="NSimSun"/>
        <family val="3"/>
        <charset val="134"/>
      </rPr>
      <t>护</t>
    </r>
    <r>
      <rPr>
        <b/>
        <sz val="10"/>
        <color theme="1"/>
        <rFont val="Meiryo UI"/>
        <family val="3"/>
        <charset val="128"/>
      </rPr>
      <t>原型
 如果原型是本公司生</t>
    </r>
    <r>
      <rPr>
        <b/>
        <sz val="10"/>
        <color theme="1"/>
        <rFont val="Microsoft JhengHei"/>
        <family val="2"/>
        <charset val="136"/>
      </rPr>
      <t>产</t>
    </r>
    <r>
      <rPr>
        <b/>
        <sz val="10"/>
        <color theme="1"/>
        <rFont val="NSimSun"/>
        <family val="3"/>
        <charset val="134"/>
      </rPr>
      <t>的</t>
    </r>
    <r>
      <rPr>
        <b/>
        <sz val="10"/>
        <color theme="1"/>
        <rFont val="Meiryo UI"/>
        <family val="3"/>
        <charset val="128"/>
      </rPr>
      <t>或原型或原型信息</t>
    </r>
    <r>
      <rPr>
        <b/>
        <sz val="10"/>
        <color theme="1"/>
        <rFont val="Microsoft JhengHei"/>
        <family val="2"/>
        <charset val="136"/>
      </rPr>
      <t>传</t>
    </r>
    <r>
      <rPr>
        <b/>
        <sz val="10"/>
        <color theme="1"/>
        <rFont val="NSimSun"/>
        <family val="3"/>
        <charset val="134"/>
      </rPr>
      <t>递的</t>
    </r>
    <r>
      <rPr>
        <b/>
        <sz val="10"/>
        <color theme="1"/>
        <rFont val="Microsoft YaHei"/>
        <family val="3"/>
        <charset val="134"/>
      </rPr>
      <t>）</t>
    </r>
    <phoneticPr fontId="1"/>
  </si>
  <si>
    <t>関連顧客名1
Related customer name
相关客户名称</t>
  </si>
  <si>
    <t>対象顧客</t>
    <rPh sb="0" eb="2">
      <t>タイショウ</t>
    </rPh>
    <rPh sb="2" eb="4">
      <t>コキャク</t>
    </rPh>
    <phoneticPr fontId="1"/>
  </si>
  <si>
    <t>Target customers</t>
  </si>
  <si>
    <r>
      <t>目</t>
    </r>
    <r>
      <rPr>
        <b/>
        <sz val="12"/>
        <color theme="1"/>
        <rFont val="NSimSun"/>
        <family val="3"/>
        <charset val="134"/>
      </rPr>
      <t>标</t>
    </r>
    <r>
      <rPr>
        <b/>
        <sz val="12"/>
        <color theme="1"/>
        <rFont val="Meiryo UI"/>
        <family val="3"/>
        <charset val="128"/>
      </rPr>
      <t>客</t>
    </r>
    <r>
      <rPr>
        <b/>
        <sz val="12"/>
        <color theme="1"/>
        <rFont val="NSimSun"/>
        <family val="3"/>
        <charset val="134"/>
      </rPr>
      <t>户</t>
    </r>
  </si>
  <si>
    <r>
      <t xml:space="preserve">顧客要件周知教育日1
Latest educated date of the customer requirement
最新受教育日期 </t>
    </r>
    <r>
      <rPr>
        <b/>
        <sz val="11"/>
        <color theme="1"/>
        <rFont val="Microsoft YaHei"/>
        <family val="3"/>
        <charset val="134"/>
      </rPr>
      <t>的客户要求</t>
    </r>
    <phoneticPr fontId="1"/>
  </si>
  <si>
    <t>顧客の要件をその会社に周知教育した日</t>
    <rPh sb="0" eb="2">
      <t>コキャク</t>
    </rPh>
    <rPh sb="3" eb="5">
      <t>ヨウケン</t>
    </rPh>
    <rPh sb="8" eb="10">
      <t>カイシャ</t>
    </rPh>
    <rPh sb="17" eb="18">
      <t>ヒ</t>
    </rPh>
    <phoneticPr fontId="1"/>
  </si>
  <si>
    <t>Date when the customer's requirements were made known and educated to the company</t>
  </si>
  <si>
    <r>
      <t>客</t>
    </r>
    <r>
      <rPr>
        <b/>
        <sz val="12"/>
        <color theme="1"/>
        <rFont val="NSimSun"/>
        <family val="3"/>
        <charset val="134"/>
      </rPr>
      <t>户</t>
    </r>
    <r>
      <rPr>
        <b/>
        <sz val="12"/>
        <color theme="1"/>
        <rFont val="Meiryo UI"/>
        <family val="3"/>
        <charset val="128"/>
      </rPr>
      <t>的要求被告知并教育</t>
    </r>
    <r>
      <rPr>
        <b/>
        <sz val="12"/>
        <color theme="1"/>
        <rFont val="NSimSun"/>
        <family val="3"/>
        <charset val="134"/>
      </rPr>
      <t>给</t>
    </r>
    <r>
      <rPr>
        <b/>
        <sz val="12"/>
        <color theme="1"/>
        <rFont val="Meiryo UI"/>
        <family val="3"/>
        <charset val="128"/>
      </rPr>
      <t>公司的日期。</t>
    </r>
  </si>
  <si>
    <t>顧客承認日1
Customer Approval Date
客户批准日期</t>
  </si>
  <si>
    <t>その会社に業務委託することを顧客が承認した日</t>
    <rPh sb="2" eb="4">
      <t>カイシャ</t>
    </rPh>
    <rPh sb="5" eb="7">
      <t>ギョウム</t>
    </rPh>
    <rPh sb="7" eb="9">
      <t>イタク</t>
    </rPh>
    <rPh sb="14" eb="16">
      <t>コキャク</t>
    </rPh>
    <rPh sb="17" eb="19">
      <t>ショウニン</t>
    </rPh>
    <rPh sb="21" eb="22">
      <t>ヒ</t>
    </rPh>
    <phoneticPr fontId="1"/>
  </si>
  <si>
    <t>Date of customer's approval to outsource work to the company</t>
  </si>
  <si>
    <r>
      <t>客</t>
    </r>
    <r>
      <rPr>
        <b/>
        <sz val="12"/>
        <color theme="1"/>
        <rFont val="NSimSun"/>
        <family val="3"/>
        <charset val="134"/>
      </rPr>
      <t>户</t>
    </r>
    <r>
      <rPr>
        <b/>
        <sz val="12"/>
        <color theme="1"/>
        <rFont val="Meiryo UI"/>
        <family val="3"/>
        <charset val="128"/>
      </rPr>
      <t>批准将工作外包</t>
    </r>
    <r>
      <rPr>
        <b/>
        <sz val="12"/>
        <color theme="1"/>
        <rFont val="NSimSun"/>
        <family val="3"/>
        <charset val="134"/>
      </rPr>
      <t>给</t>
    </r>
    <r>
      <rPr>
        <b/>
        <sz val="12"/>
        <color theme="1"/>
        <rFont val="Meiryo UI"/>
        <family val="3"/>
        <charset val="128"/>
      </rPr>
      <t>公司的日期</t>
    </r>
  </si>
  <si>
    <t>施設要件の有無と内容1
Fascility Requirement
熟练度要求</t>
  </si>
  <si>
    <t>プロトタイプ保護対象を置く・作業する・作る・保管する場所に求められるセキュリティ要件</t>
    <rPh sb="6" eb="8">
      <t>ホゴ</t>
    </rPh>
    <rPh sb="8" eb="10">
      <t>タイショウ</t>
    </rPh>
    <rPh sb="11" eb="12">
      <t>オ</t>
    </rPh>
    <rPh sb="14" eb="16">
      <t>サギョウ</t>
    </rPh>
    <rPh sb="19" eb="20">
      <t>ツク</t>
    </rPh>
    <rPh sb="22" eb="24">
      <t>ホカン</t>
    </rPh>
    <rPh sb="26" eb="28">
      <t>バショ</t>
    </rPh>
    <rPh sb="29" eb="30">
      <t>モト</t>
    </rPh>
    <rPh sb="40" eb="42">
      <t>ヨウケン</t>
    </rPh>
    <phoneticPr fontId="1"/>
  </si>
  <si>
    <t>Security requirements for the location where the prototype protection object is placed, worked on, made, or stored</t>
  </si>
  <si>
    <r>
      <t>对原型保</t>
    </r>
    <r>
      <rPr>
        <b/>
        <sz val="12"/>
        <color theme="1"/>
        <rFont val="NSimSun"/>
        <family val="3"/>
        <charset val="134"/>
      </rPr>
      <t>护对</t>
    </r>
    <r>
      <rPr>
        <b/>
        <sz val="12"/>
        <color theme="1"/>
        <rFont val="Meiryo UI"/>
        <family val="3"/>
        <charset val="128"/>
      </rPr>
      <t>象放置、工作、制作或存</t>
    </r>
    <r>
      <rPr>
        <b/>
        <sz val="12"/>
        <color theme="1"/>
        <rFont val="NSimSun"/>
        <family val="3"/>
        <charset val="134"/>
      </rPr>
      <t>储</t>
    </r>
    <r>
      <rPr>
        <b/>
        <sz val="12"/>
        <color theme="1"/>
        <rFont val="Meiryo UI"/>
        <family val="3"/>
        <charset val="128"/>
      </rPr>
      <t>地点的安全要求。</t>
    </r>
  </si>
  <si>
    <t>施設スペック1
Fascility Requirement specification
熟练度要求规格</t>
  </si>
  <si>
    <t>対象セキュリティエリアのスペック（監視カメラ、IDカード入退室管理、記帳管理等）</t>
    <rPh sb="0" eb="2">
      <t>タイショウ</t>
    </rPh>
    <rPh sb="17" eb="19">
      <t>カンシ</t>
    </rPh>
    <rPh sb="28" eb="31">
      <t>ニュウタイシツ</t>
    </rPh>
    <rPh sb="31" eb="33">
      <t>カンリ</t>
    </rPh>
    <rPh sb="34" eb="36">
      <t>キチョウ</t>
    </rPh>
    <rPh sb="36" eb="38">
      <t>カンリ</t>
    </rPh>
    <rPh sb="38" eb="39">
      <t>トウ</t>
    </rPh>
    <phoneticPr fontId="1"/>
  </si>
  <si>
    <t>Specifications of the target security area (e.g., surveillance cameras, ID card access control, bookkeeping control, etc.)</t>
  </si>
  <si>
    <r>
      <t>目</t>
    </r>
    <r>
      <rPr>
        <b/>
        <sz val="12"/>
        <color theme="1"/>
        <rFont val="NSimSun"/>
        <family val="3"/>
        <charset val="134"/>
      </rPr>
      <t>标</t>
    </r>
    <r>
      <rPr>
        <b/>
        <sz val="12"/>
        <color theme="1"/>
        <rFont val="Meiryo UI"/>
        <family val="3"/>
        <charset val="128"/>
      </rPr>
      <t>安全区域的</t>
    </r>
    <r>
      <rPr>
        <b/>
        <sz val="12"/>
        <color theme="1"/>
        <rFont val="NSimSun"/>
        <family val="3"/>
        <charset val="134"/>
      </rPr>
      <t>规</t>
    </r>
    <r>
      <rPr>
        <b/>
        <sz val="12"/>
        <color theme="1"/>
        <rFont val="Meiryo UI"/>
        <family val="3"/>
        <charset val="128"/>
      </rPr>
      <t>格（如</t>
    </r>
    <r>
      <rPr>
        <b/>
        <sz val="12"/>
        <color theme="1"/>
        <rFont val="NSimSun"/>
        <family val="3"/>
        <charset val="134"/>
      </rPr>
      <t>监</t>
    </r>
    <r>
      <rPr>
        <b/>
        <sz val="12"/>
        <color theme="1"/>
        <rFont val="Meiryo UI"/>
        <family val="3"/>
        <charset val="128"/>
      </rPr>
      <t>控</t>
    </r>
    <r>
      <rPr>
        <b/>
        <sz val="12"/>
        <color theme="1"/>
        <rFont val="NSimSun"/>
        <family val="3"/>
        <charset val="134"/>
      </rPr>
      <t>摄</t>
    </r>
    <r>
      <rPr>
        <b/>
        <sz val="12"/>
        <color theme="1"/>
        <rFont val="Meiryo UI"/>
        <family val="3"/>
        <charset val="128"/>
      </rPr>
      <t>像</t>
    </r>
    <r>
      <rPr>
        <b/>
        <sz val="12"/>
        <color theme="1"/>
        <rFont val="NSimSun"/>
        <family val="3"/>
        <charset val="134"/>
      </rPr>
      <t>头</t>
    </r>
    <r>
      <rPr>
        <b/>
        <sz val="12"/>
        <color theme="1"/>
        <rFont val="Meiryo UI"/>
        <family val="3"/>
        <charset val="128"/>
      </rPr>
      <t>、身份</t>
    </r>
    <r>
      <rPr>
        <b/>
        <sz val="12"/>
        <color theme="1"/>
        <rFont val="NSimSun"/>
        <family val="3"/>
        <charset val="134"/>
      </rPr>
      <t>证门</t>
    </r>
    <r>
      <rPr>
        <b/>
        <sz val="12"/>
        <color theme="1"/>
        <rFont val="Meiryo UI"/>
        <family val="3"/>
        <charset val="128"/>
      </rPr>
      <t>禁、</t>
    </r>
    <r>
      <rPr>
        <b/>
        <sz val="12"/>
        <color theme="1"/>
        <rFont val="NSimSun"/>
        <family val="3"/>
        <charset val="134"/>
      </rPr>
      <t>记账</t>
    </r>
    <r>
      <rPr>
        <b/>
        <sz val="12"/>
        <color theme="1"/>
        <rFont val="Meiryo UI"/>
        <family val="3"/>
        <charset val="128"/>
      </rPr>
      <t>控制等）。</t>
    </r>
  </si>
  <si>
    <t>以下、複数顧客担当する場合は繰り返し記述。</t>
    <phoneticPr fontId="1"/>
  </si>
  <si>
    <t>If the member is in charge of multiple customers, repeat the description below.</t>
    <phoneticPr fontId="1"/>
  </si>
  <si>
    <r>
      <t>如果</t>
    </r>
    <r>
      <rPr>
        <b/>
        <sz val="12"/>
        <color theme="1"/>
        <rFont val="NSimSun"/>
        <family val="3"/>
        <charset val="134"/>
      </rPr>
      <t>该</t>
    </r>
    <r>
      <rPr>
        <b/>
        <sz val="12"/>
        <color theme="1"/>
        <rFont val="Meiryo UI"/>
        <family val="3"/>
        <charset val="128"/>
      </rPr>
      <t>会</t>
    </r>
    <r>
      <rPr>
        <b/>
        <sz val="12"/>
        <color theme="1"/>
        <rFont val="NSimSun"/>
        <family val="3"/>
        <charset val="134"/>
      </rPr>
      <t>员负责</t>
    </r>
    <r>
      <rPr>
        <b/>
        <sz val="12"/>
        <color theme="1"/>
        <rFont val="Meiryo UI"/>
        <family val="3"/>
        <charset val="128"/>
      </rPr>
      <t>多个客</t>
    </r>
    <r>
      <rPr>
        <b/>
        <sz val="12"/>
        <color theme="1"/>
        <rFont val="NSimSun"/>
        <family val="3"/>
        <charset val="134"/>
      </rPr>
      <t>户</t>
    </r>
    <r>
      <rPr>
        <b/>
        <sz val="12"/>
        <color theme="1"/>
        <rFont val="Meiryo UI"/>
        <family val="3"/>
        <charset val="128"/>
      </rPr>
      <t>，</t>
    </r>
    <r>
      <rPr>
        <b/>
        <sz val="12"/>
        <color theme="1"/>
        <rFont val="NSimSun"/>
        <family val="3"/>
        <charset val="134"/>
      </rPr>
      <t>请</t>
    </r>
    <r>
      <rPr>
        <b/>
        <sz val="12"/>
        <color theme="1"/>
        <rFont val="Meiryo UI"/>
        <family val="3"/>
        <charset val="128"/>
      </rPr>
      <t>重复以下描述。</t>
    </r>
    <phoneticPr fontId="1"/>
  </si>
  <si>
    <t xml:space="preserve">関連顧客名2
</t>
  </si>
  <si>
    <t xml:space="preserve">顧客要件周知教育日2
</t>
  </si>
  <si>
    <t xml:space="preserve">顧客承認日2
</t>
  </si>
  <si>
    <t xml:space="preserve">施設要件の有無と内容2
</t>
  </si>
  <si>
    <t xml:space="preserve">施設スペック2
</t>
  </si>
  <si>
    <r>
      <t>目</t>
    </r>
    <r>
      <rPr>
        <b/>
        <sz val="12"/>
        <color theme="1"/>
        <rFont val="NSimSun"/>
        <family val="3"/>
        <charset val="134"/>
      </rPr>
      <t>标</t>
    </r>
    <r>
      <rPr>
        <b/>
        <sz val="12"/>
        <color theme="1"/>
        <rFont val="Meiryo UI"/>
        <family val="3"/>
        <charset val="128"/>
      </rPr>
      <t>安全区域的</t>
    </r>
    <r>
      <rPr>
        <b/>
        <sz val="12"/>
        <color theme="1"/>
        <rFont val="NSimSun"/>
        <family val="3"/>
        <charset val="134"/>
      </rPr>
      <t>规</t>
    </r>
    <r>
      <rPr>
        <b/>
        <sz val="12"/>
        <color theme="1"/>
        <rFont val="Meiryo UI"/>
        <family val="3"/>
        <charset val="128"/>
      </rPr>
      <t>格（如</t>
    </r>
    <r>
      <rPr>
        <b/>
        <sz val="12"/>
        <color theme="1"/>
        <rFont val="NSimSun"/>
        <family val="3"/>
        <charset val="134"/>
      </rPr>
      <t>监</t>
    </r>
    <r>
      <rPr>
        <b/>
        <sz val="12"/>
        <color theme="1"/>
        <rFont val="Meiryo UI"/>
        <family val="3"/>
        <charset val="128"/>
      </rPr>
      <t>控</t>
    </r>
    <r>
      <rPr>
        <b/>
        <sz val="12"/>
        <color theme="1"/>
        <rFont val="NSimSun"/>
        <family val="3"/>
        <charset val="134"/>
      </rPr>
      <t>摄</t>
    </r>
    <r>
      <rPr>
        <b/>
        <sz val="12"/>
        <color theme="1"/>
        <rFont val="Meiryo UI"/>
        <family val="3"/>
        <charset val="128"/>
      </rPr>
      <t>像</t>
    </r>
    <r>
      <rPr>
        <b/>
        <sz val="12"/>
        <color theme="1"/>
        <rFont val="NSimSun"/>
        <family val="3"/>
        <charset val="134"/>
      </rPr>
      <t>头</t>
    </r>
    <r>
      <rPr>
        <b/>
        <sz val="12"/>
        <color theme="1"/>
        <rFont val="Meiryo UI"/>
        <family val="3"/>
        <charset val="128"/>
      </rPr>
      <t>、ID卡</t>
    </r>
    <r>
      <rPr>
        <b/>
        <sz val="12"/>
        <color theme="1"/>
        <rFont val="NSimSun"/>
        <family val="3"/>
        <charset val="134"/>
      </rPr>
      <t>门</t>
    </r>
    <r>
      <rPr>
        <b/>
        <sz val="12"/>
        <color theme="1"/>
        <rFont val="Meiryo UI"/>
        <family val="3"/>
        <charset val="128"/>
      </rPr>
      <t>禁、</t>
    </r>
    <r>
      <rPr>
        <b/>
        <sz val="12"/>
        <color theme="1"/>
        <rFont val="NSimSun"/>
        <family val="3"/>
        <charset val="134"/>
      </rPr>
      <t>记账</t>
    </r>
    <r>
      <rPr>
        <b/>
        <sz val="12"/>
        <color theme="1"/>
        <rFont val="Meiryo UI"/>
        <family val="3"/>
        <charset val="128"/>
      </rPr>
      <t>管理等）。</t>
    </r>
  </si>
  <si>
    <t xml:space="preserve">
＜プロジェクト管理系＞&lt;Project Management&gt;&lt;项目管理&gt;
</t>
  </si>
  <si>
    <t>管理No
Number
数量</t>
  </si>
  <si>
    <t>開発管理No. （例：C&amp;M-AUTOのCE No等）</t>
    <rPh sb="0" eb="2">
      <t>カイハツ</t>
    </rPh>
    <rPh sb="2" eb="4">
      <t>カンリ</t>
    </rPh>
    <rPh sb="9" eb="10">
      <t>レイ</t>
    </rPh>
    <rPh sb="25" eb="26">
      <t>トウ</t>
    </rPh>
    <phoneticPr fontId="1"/>
  </si>
  <si>
    <t>Development management No. (e.g., CE No. for C&amp;M-AUTO, etc.)</t>
  </si>
  <si>
    <r>
      <t>开</t>
    </r>
    <r>
      <rPr>
        <b/>
        <sz val="12"/>
        <color theme="1"/>
        <rFont val="NSimSun"/>
        <family val="3"/>
        <charset val="134"/>
      </rPr>
      <t>发</t>
    </r>
    <r>
      <rPr>
        <b/>
        <sz val="12"/>
        <color theme="1"/>
        <rFont val="Meiryo UI"/>
        <family val="3"/>
        <charset val="128"/>
      </rPr>
      <t>管理号（如C&amp;M-AUTO的CE号等）。</t>
    </r>
  </si>
  <si>
    <t>顧客名
Customer Name
客户名称</t>
  </si>
  <si>
    <t>プロジェクト名
Project Name
项目名称</t>
  </si>
  <si>
    <t>管理責任者
Project Security Manager
项目安全经理</t>
  </si>
  <si>
    <t>該当プロジェクトの情報セキュリティ責任者</t>
    <rPh sb="0" eb="2">
      <t>ガイトウ</t>
    </rPh>
    <rPh sb="9" eb="11">
      <t>ジョウホウ</t>
    </rPh>
    <rPh sb="17" eb="20">
      <t>セキニンシャ</t>
    </rPh>
    <phoneticPr fontId="1"/>
  </si>
  <si>
    <t>Person responsible for information security of the relevant project</t>
  </si>
  <si>
    <r>
      <t>相关</t>
    </r>
    <r>
      <rPr>
        <b/>
        <sz val="12"/>
        <color theme="1"/>
        <rFont val="NSimSun"/>
        <family val="3"/>
        <charset val="134"/>
      </rPr>
      <t>项</t>
    </r>
    <r>
      <rPr>
        <b/>
        <sz val="12"/>
        <color theme="1"/>
        <rFont val="Meiryo UI"/>
        <family val="3"/>
        <charset val="128"/>
      </rPr>
      <t>目的信息安全</t>
    </r>
    <r>
      <rPr>
        <b/>
        <sz val="12"/>
        <color theme="1"/>
        <rFont val="NSimSun"/>
        <family val="3"/>
        <charset val="134"/>
      </rPr>
      <t>责</t>
    </r>
    <r>
      <rPr>
        <b/>
        <sz val="12"/>
        <color theme="1"/>
        <rFont val="Meiryo UI"/>
        <family val="3"/>
        <charset val="128"/>
      </rPr>
      <t>任人</t>
    </r>
  </si>
  <si>
    <t>利用範囲
Viewing Authority
查看权限</t>
  </si>
  <si>
    <t>プロジェクト情報を見ることのできるメンバー</t>
    <rPh sb="6" eb="8">
      <t>ジョウホウ</t>
    </rPh>
    <phoneticPr fontId="1"/>
  </si>
  <si>
    <t>Members who have access to project information</t>
  </si>
  <si>
    <r>
      <t>可</t>
    </r>
    <r>
      <rPr>
        <b/>
        <sz val="12"/>
        <color theme="1"/>
        <rFont val="Malgun Gothic Semilight"/>
        <family val="3"/>
        <charset val="129"/>
      </rPr>
      <t>查</t>
    </r>
    <r>
      <rPr>
        <b/>
        <sz val="12"/>
        <color theme="1"/>
        <rFont val="NSimSun"/>
        <family val="3"/>
        <charset val="134"/>
      </rPr>
      <t>阅项</t>
    </r>
    <r>
      <rPr>
        <b/>
        <sz val="12"/>
        <color theme="1"/>
        <rFont val="Meiryo UI"/>
        <family val="3"/>
        <charset val="128"/>
      </rPr>
      <t>目</t>
    </r>
    <r>
      <rPr>
        <b/>
        <sz val="12"/>
        <color theme="1"/>
        <rFont val="NSimSun"/>
        <family val="3"/>
        <charset val="134"/>
      </rPr>
      <t>资</t>
    </r>
    <r>
      <rPr>
        <b/>
        <sz val="12"/>
        <color theme="1"/>
        <rFont val="Meiryo UI"/>
        <family val="3"/>
        <charset val="128"/>
      </rPr>
      <t>料的成</t>
    </r>
    <r>
      <rPr>
        <b/>
        <sz val="12"/>
        <color theme="1"/>
        <rFont val="NSimSun"/>
        <family val="3"/>
        <charset val="134"/>
      </rPr>
      <t>员</t>
    </r>
  </si>
  <si>
    <t>NDA契約を結んだプロジェクトメンバーのみ閲覧可</t>
    <rPh sb="3" eb="5">
      <t>ケイヤク</t>
    </rPh>
    <rPh sb="6" eb="7">
      <t>ムス</t>
    </rPh>
    <rPh sb="21" eb="23">
      <t>エツラン</t>
    </rPh>
    <rPh sb="23" eb="24">
      <t>カ</t>
    </rPh>
    <phoneticPr fontId="2"/>
  </si>
  <si>
    <t>Only project members who have signed the NDA agreement can view the information.</t>
    <phoneticPr fontId="1"/>
  </si>
  <si>
    <r>
      <t>只有</t>
    </r>
    <r>
      <rPr>
        <sz val="10"/>
        <color theme="1"/>
        <rFont val="NSimSun"/>
        <family val="3"/>
        <charset val="134"/>
      </rPr>
      <t>签</t>
    </r>
    <r>
      <rPr>
        <sz val="10"/>
        <color theme="1"/>
        <rFont val="Meiryo UI"/>
        <family val="3"/>
        <charset val="128"/>
      </rPr>
      <t xml:space="preserve">署了 NDA </t>
    </r>
    <r>
      <rPr>
        <sz val="10"/>
        <color theme="1"/>
        <rFont val="NSimSun"/>
        <family val="3"/>
        <charset val="134"/>
      </rPr>
      <t>协议</t>
    </r>
    <r>
      <rPr>
        <sz val="10"/>
        <color theme="1"/>
        <rFont val="Meiryo UI"/>
        <family val="3"/>
        <charset val="128"/>
      </rPr>
      <t>的</t>
    </r>
    <r>
      <rPr>
        <sz val="10"/>
        <color theme="1"/>
        <rFont val="NSimSun"/>
        <family val="3"/>
        <charset val="134"/>
      </rPr>
      <t>项</t>
    </r>
    <r>
      <rPr>
        <sz val="10"/>
        <color theme="1"/>
        <rFont val="Meiryo UI"/>
        <family val="3"/>
        <charset val="128"/>
      </rPr>
      <t>目成</t>
    </r>
    <r>
      <rPr>
        <sz val="10"/>
        <color theme="1"/>
        <rFont val="NSimSun"/>
        <family val="3"/>
        <charset val="134"/>
      </rPr>
      <t>员</t>
    </r>
    <r>
      <rPr>
        <sz val="10"/>
        <color theme="1"/>
        <rFont val="Meiryo UI"/>
        <family val="3"/>
        <charset val="128"/>
      </rPr>
      <t>才能</t>
    </r>
    <r>
      <rPr>
        <sz val="10"/>
        <color theme="1"/>
        <rFont val="Microsoft JhengHei"/>
        <family val="2"/>
        <charset val="136"/>
      </rPr>
      <t>查</t>
    </r>
    <r>
      <rPr>
        <sz val="10"/>
        <color theme="1"/>
        <rFont val="Meiryo UI"/>
        <family val="3"/>
        <charset val="128"/>
      </rPr>
      <t>看信息。</t>
    </r>
    <phoneticPr fontId="1"/>
  </si>
  <si>
    <t>同一顧客＆同一製品群に携わるメンバーのみ閲覧可</t>
    <rPh sb="0" eb="2">
      <t>ドウイツ</t>
    </rPh>
    <rPh sb="2" eb="4">
      <t>コキャク</t>
    </rPh>
    <rPh sb="5" eb="7">
      <t>ドウイツ</t>
    </rPh>
    <rPh sb="7" eb="9">
      <t>セイヒン</t>
    </rPh>
    <rPh sb="9" eb="10">
      <t>グン</t>
    </rPh>
    <rPh sb="11" eb="12">
      <t>タズサ</t>
    </rPh>
    <rPh sb="20" eb="22">
      <t>エツラン</t>
    </rPh>
    <rPh sb="22" eb="23">
      <t>カ</t>
    </rPh>
    <phoneticPr fontId="2"/>
  </si>
  <si>
    <t>Only members working for the same customer and product group can view the information.</t>
    <phoneticPr fontId="1"/>
  </si>
  <si>
    <r>
      <t>只有</t>
    </r>
    <r>
      <rPr>
        <sz val="10"/>
        <color theme="1"/>
        <rFont val="NSimSun"/>
        <family val="3"/>
        <charset val="134"/>
      </rPr>
      <t>为</t>
    </r>
    <r>
      <rPr>
        <sz val="10"/>
        <color theme="1"/>
        <rFont val="Meiryo UI"/>
        <family val="3"/>
        <charset val="128"/>
      </rPr>
      <t>同一客</t>
    </r>
    <r>
      <rPr>
        <sz val="10"/>
        <color theme="1"/>
        <rFont val="NSimSun"/>
        <family val="3"/>
        <charset val="134"/>
      </rPr>
      <t>户</t>
    </r>
    <r>
      <rPr>
        <sz val="10"/>
        <color theme="1"/>
        <rFont val="Meiryo UI"/>
        <family val="3"/>
        <charset val="128"/>
      </rPr>
      <t>和</t>
    </r>
    <r>
      <rPr>
        <sz val="10"/>
        <color theme="1"/>
        <rFont val="NSimSun"/>
        <family val="3"/>
        <charset val="134"/>
      </rPr>
      <t>产</t>
    </r>
    <r>
      <rPr>
        <sz val="10"/>
        <color theme="1"/>
        <rFont val="Meiryo UI"/>
        <family val="3"/>
        <charset val="128"/>
      </rPr>
      <t>品</t>
    </r>
    <r>
      <rPr>
        <sz val="10"/>
        <color theme="1"/>
        <rFont val="NSimSun"/>
        <family val="3"/>
        <charset val="134"/>
      </rPr>
      <t>组</t>
    </r>
    <r>
      <rPr>
        <sz val="10"/>
        <color theme="1"/>
        <rFont val="Meiryo UI"/>
        <family val="3"/>
        <charset val="128"/>
      </rPr>
      <t>工作的成</t>
    </r>
    <r>
      <rPr>
        <sz val="10"/>
        <color theme="1"/>
        <rFont val="NSimSun"/>
        <family val="3"/>
        <charset val="134"/>
      </rPr>
      <t>员</t>
    </r>
    <r>
      <rPr>
        <sz val="10"/>
        <color theme="1"/>
        <rFont val="Meiryo UI"/>
        <family val="3"/>
        <charset val="128"/>
      </rPr>
      <t>才能</t>
    </r>
    <r>
      <rPr>
        <sz val="10"/>
        <color theme="1"/>
        <rFont val="Microsoft JhengHei"/>
        <family val="2"/>
        <charset val="136"/>
      </rPr>
      <t>查</t>
    </r>
    <r>
      <rPr>
        <sz val="10"/>
        <color theme="1"/>
        <rFont val="Meiryo UI"/>
        <family val="3"/>
        <charset val="128"/>
      </rPr>
      <t>看信息。</t>
    </r>
    <phoneticPr fontId="1"/>
  </si>
  <si>
    <t>同一顧客に携わるメンバーのみ閲覧可</t>
    <rPh sb="0" eb="2">
      <t>ドウイツ</t>
    </rPh>
    <rPh sb="2" eb="4">
      <t>コキャク</t>
    </rPh>
    <rPh sb="5" eb="6">
      <t>タズサ</t>
    </rPh>
    <rPh sb="14" eb="16">
      <t>エツラン</t>
    </rPh>
    <rPh sb="16" eb="17">
      <t>カ</t>
    </rPh>
    <phoneticPr fontId="2"/>
  </si>
  <si>
    <t>Only members working for the same customer can view the information</t>
    <phoneticPr fontId="1"/>
  </si>
  <si>
    <r>
      <t>只有</t>
    </r>
    <r>
      <rPr>
        <sz val="10"/>
        <color theme="1"/>
        <rFont val="NSimSun"/>
        <family val="3"/>
        <charset val="134"/>
      </rPr>
      <t>为</t>
    </r>
    <r>
      <rPr>
        <sz val="10"/>
        <color theme="1"/>
        <rFont val="Meiryo UI"/>
        <family val="3"/>
        <charset val="128"/>
      </rPr>
      <t>同一客</t>
    </r>
    <r>
      <rPr>
        <sz val="10"/>
        <color theme="1"/>
        <rFont val="NSimSun"/>
        <family val="3"/>
        <charset val="134"/>
      </rPr>
      <t>户</t>
    </r>
    <r>
      <rPr>
        <sz val="10"/>
        <color theme="1"/>
        <rFont val="Meiryo UI"/>
        <family val="3"/>
        <charset val="128"/>
      </rPr>
      <t>工作的成</t>
    </r>
    <r>
      <rPr>
        <sz val="10"/>
        <color theme="1"/>
        <rFont val="NSimSun"/>
        <family val="3"/>
        <charset val="134"/>
      </rPr>
      <t>员</t>
    </r>
    <r>
      <rPr>
        <sz val="10"/>
        <color theme="1"/>
        <rFont val="Meiryo UI"/>
        <family val="3"/>
        <charset val="128"/>
      </rPr>
      <t>才能</t>
    </r>
    <r>
      <rPr>
        <sz val="10"/>
        <color theme="1"/>
        <rFont val="Microsoft JhengHei"/>
        <family val="2"/>
        <charset val="136"/>
      </rPr>
      <t>查</t>
    </r>
    <r>
      <rPr>
        <sz val="10"/>
        <color theme="1"/>
        <rFont val="Meiryo UI"/>
        <family val="3"/>
        <charset val="128"/>
      </rPr>
      <t>看信息。</t>
    </r>
    <phoneticPr fontId="1"/>
  </si>
  <si>
    <t>社内メンバーが閲覧可</t>
    <rPh sb="0" eb="2">
      <t>シャナイ</t>
    </rPh>
    <rPh sb="7" eb="9">
      <t>エツラン</t>
    </rPh>
    <rPh sb="9" eb="10">
      <t>カ</t>
    </rPh>
    <phoneticPr fontId="2"/>
  </si>
  <si>
    <t>Can be viewed by internal members</t>
    <phoneticPr fontId="1"/>
  </si>
  <si>
    <t>プロジェクトメンバー
Project Member
项目成员</t>
  </si>
  <si>
    <t>メンバー氏名をコンマ区切りで羅列</t>
    <rPh sb="4" eb="6">
      <t>シメイ</t>
    </rPh>
    <rPh sb="10" eb="12">
      <t>クギ</t>
    </rPh>
    <rPh sb="14" eb="16">
      <t>ラレツ</t>
    </rPh>
    <phoneticPr fontId="1"/>
  </si>
  <si>
    <t>List member names separated by commas.</t>
  </si>
  <si>
    <r>
      <t>列出成</t>
    </r>
    <r>
      <rPr>
        <b/>
        <sz val="12"/>
        <color theme="1"/>
        <rFont val="NSimSun"/>
        <family val="3"/>
        <charset val="134"/>
      </rPr>
      <t>员</t>
    </r>
    <r>
      <rPr>
        <b/>
        <sz val="12"/>
        <color theme="1"/>
        <rFont val="Meiryo UI"/>
        <family val="3"/>
        <charset val="128"/>
      </rPr>
      <t>名称，用逗号隔开。</t>
    </r>
  </si>
  <si>
    <t>作業場所
Working Space
工作空间</t>
  </si>
  <si>
    <t>発足時に想定で記載。開発場所、試作場所等を想定の範囲で。</t>
    <rPh sb="0" eb="3">
      <t>ホッソクジ</t>
    </rPh>
    <rPh sb="4" eb="6">
      <t>ソウテイ</t>
    </rPh>
    <rPh sb="7" eb="9">
      <t>キサイ</t>
    </rPh>
    <rPh sb="10" eb="12">
      <t>カイハツ</t>
    </rPh>
    <rPh sb="12" eb="14">
      <t>バショ</t>
    </rPh>
    <rPh sb="15" eb="17">
      <t>シサク</t>
    </rPh>
    <rPh sb="17" eb="19">
      <t>バショ</t>
    </rPh>
    <rPh sb="19" eb="20">
      <t>トウ</t>
    </rPh>
    <rPh sb="21" eb="23">
      <t>ソウテイ</t>
    </rPh>
    <rPh sb="24" eb="26">
      <t>ハンイ</t>
    </rPh>
    <phoneticPr fontId="1"/>
  </si>
  <si>
    <t>Initial assumption. Development location, prototype location, etc., within the scope of assumptions.</t>
    <phoneticPr fontId="1"/>
  </si>
  <si>
    <r>
      <t>初始假</t>
    </r>
    <r>
      <rPr>
        <b/>
        <sz val="12"/>
        <color theme="1"/>
        <rFont val="NSimSun"/>
        <family val="3"/>
        <charset val="134"/>
      </rPr>
      <t>设</t>
    </r>
    <r>
      <rPr>
        <b/>
        <sz val="12"/>
        <color theme="1"/>
        <rFont val="Meiryo UI"/>
        <family val="3"/>
        <charset val="128"/>
      </rPr>
      <t>。假</t>
    </r>
    <r>
      <rPr>
        <b/>
        <sz val="12"/>
        <color theme="1"/>
        <rFont val="NSimSun"/>
        <family val="3"/>
        <charset val="134"/>
      </rPr>
      <t>设</t>
    </r>
    <r>
      <rPr>
        <b/>
        <sz val="12"/>
        <color theme="1"/>
        <rFont val="Meiryo UI"/>
        <family val="3"/>
        <charset val="128"/>
      </rPr>
      <t>范</t>
    </r>
    <r>
      <rPr>
        <b/>
        <sz val="12"/>
        <color theme="1"/>
        <rFont val="NSimSun"/>
        <family val="3"/>
        <charset val="134"/>
      </rPr>
      <t>围</t>
    </r>
    <r>
      <rPr>
        <b/>
        <sz val="12"/>
        <color theme="1"/>
        <rFont val="Meiryo UI"/>
        <family val="3"/>
        <charset val="128"/>
      </rPr>
      <t>内的开</t>
    </r>
    <r>
      <rPr>
        <b/>
        <sz val="12"/>
        <color theme="1"/>
        <rFont val="NSimSun"/>
        <family val="3"/>
        <charset val="134"/>
      </rPr>
      <t>发</t>
    </r>
    <r>
      <rPr>
        <b/>
        <sz val="12"/>
        <color theme="1"/>
        <rFont val="Meiryo UI"/>
        <family val="3"/>
        <charset val="128"/>
      </rPr>
      <t>地点、</t>
    </r>
    <r>
      <rPr>
        <b/>
        <sz val="12"/>
        <color theme="1"/>
        <rFont val="NSimSun"/>
        <family val="3"/>
        <charset val="134"/>
      </rPr>
      <t>样</t>
    </r>
    <r>
      <rPr>
        <b/>
        <sz val="12"/>
        <color theme="1"/>
        <rFont val="Meiryo UI"/>
        <family val="3"/>
        <charset val="128"/>
      </rPr>
      <t>机地点等。</t>
    </r>
    <phoneticPr fontId="1"/>
  </si>
  <si>
    <t>教育理解状況
Educated result / Class
学历/班级</t>
  </si>
  <si>
    <t>良好／不可</t>
    <rPh sb="0" eb="2">
      <t>リョウコウ</t>
    </rPh>
    <rPh sb="3" eb="5">
      <t>フカ</t>
    </rPh>
    <phoneticPr fontId="1"/>
  </si>
  <si>
    <t>Good/No good</t>
    <phoneticPr fontId="1"/>
  </si>
  <si>
    <t>好/不好</t>
    <phoneticPr fontId="1"/>
  </si>
  <si>
    <t xml:space="preserve">
＜個人系＞&lt;Personel management&gt;＜人的管理＞
</t>
  </si>
  <si>
    <t>ID
ID
身份证</t>
  </si>
  <si>
    <t>管理上の連番</t>
    <rPh sb="0" eb="3">
      <t>カンリジョウ</t>
    </rPh>
    <rPh sb="4" eb="6">
      <t>レンバン</t>
    </rPh>
    <phoneticPr fontId="1"/>
  </si>
  <si>
    <t>Sequential number for administrative purposes</t>
  </si>
  <si>
    <r>
      <t>用于管理目的的</t>
    </r>
    <r>
      <rPr>
        <b/>
        <sz val="12"/>
        <color theme="1"/>
        <rFont val="NSimSun"/>
        <family val="3"/>
        <charset val="134"/>
      </rPr>
      <t>顺</t>
    </r>
    <r>
      <rPr>
        <b/>
        <sz val="12"/>
        <color theme="1"/>
        <rFont val="Meiryo UI"/>
        <family val="3"/>
        <charset val="128"/>
      </rPr>
      <t>序号</t>
    </r>
  </si>
  <si>
    <t>ALAPあるいは自所属会社名</t>
    <rPh sb="8" eb="9">
      <t>ジ</t>
    </rPh>
    <rPh sb="9" eb="11">
      <t>ショゾク</t>
    </rPh>
    <rPh sb="11" eb="14">
      <t>カイシャメイ</t>
    </rPh>
    <phoneticPr fontId="1"/>
  </si>
  <si>
    <t>ALAP or the company name</t>
    <phoneticPr fontId="1"/>
  </si>
  <si>
    <t>ALAP或公司名称</t>
    <phoneticPr fontId="1"/>
  </si>
  <si>
    <t>ALAP社員番号
ALAP Employee Number
ALAP员工编号</t>
  </si>
  <si>
    <t>ALAPでの社員番号</t>
    <rPh sb="6" eb="8">
      <t>シャイン</t>
    </rPh>
    <rPh sb="8" eb="10">
      <t>バンゴウ</t>
    </rPh>
    <phoneticPr fontId="1"/>
  </si>
  <si>
    <t>Employee number in ALAP</t>
  </si>
  <si>
    <r>
      <t>ALAP中的雇</t>
    </r>
    <r>
      <rPr>
        <b/>
        <sz val="12"/>
        <color theme="1"/>
        <rFont val="NSimSun"/>
        <family val="3"/>
        <charset val="134"/>
      </rPr>
      <t>员</t>
    </r>
    <r>
      <rPr>
        <b/>
        <sz val="12"/>
        <color theme="1"/>
        <rFont val="Meiryo UI"/>
        <family val="3"/>
        <charset val="128"/>
      </rPr>
      <t>人数</t>
    </r>
  </si>
  <si>
    <t>氏名
Name
名称</t>
  </si>
  <si>
    <t>該当社員名</t>
    <rPh sb="0" eb="2">
      <t>ガイトウ</t>
    </rPh>
    <rPh sb="2" eb="4">
      <t>シャイン</t>
    </rPh>
    <rPh sb="4" eb="5">
      <t>メイ</t>
    </rPh>
    <phoneticPr fontId="1"/>
  </si>
  <si>
    <t>Name of the relevant employee</t>
  </si>
  <si>
    <r>
      <t>相关</t>
    </r>
    <r>
      <rPr>
        <b/>
        <sz val="12"/>
        <color theme="1"/>
        <rFont val="NSimSun"/>
        <family val="3"/>
        <charset val="134"/>
      </rPr>
      <t>员</t>
    </r>
    <r>
      <rPr>
        <b/>
        <sz val="12"/>
        <color theme="1"/>
        <rFont val="Meiryo UI"/>
        <family val="3"/>
        <charset val="128"/>
      </rPr>
      <t>工的姓名</t>
    </r>
  </si>
  <si>
    <t>入社日
Start date of the ALAP work
ALAP工作的开始日期</t>
  </si>
  <si>
    <t>ALAP業務開始日</t>
    <rPh sb="4" eb="6">
      <t>ギョウム</t>
    </rPh>
    <rPh sb="6" eb="8">
      <t>カイシ</t>
    </rPh>
    <rPh sb="8" eb="9">
      <t>ビ</t>
    </rPh>
    <phoneticPr fontId="1"/>
  </si>
  <si>
    <t>Date ALAP work started</t>
  </si>
  <si>
    <t>ALAP工作开始日期</t>
  </si>
  <si>
    <t>契約有効期限
Contract expire date
合同到期日</t>
    <phoneticPr fontId="1"/>
  </si>
  <si>
    <t>定期契約なら有効期限。ALAP正社員なら2050/12/31</t>
    <rPh sb="0" eb="2">
      <t>テイキ</t>
    </rPh>
    <rPh sb="2" eb="4">
      <t>ケイヤク</t>
    </rPh>
    <rPh sb="6" eb="10">
      <t>ユウコウキゲン</t>
    </rPh>
    <rPh sb="15" eb="18">
      <t>セイシャイン</t>
    </rPh>
    <phoneticPr fontId="1"/>
  </si>
  <si>
    <t>Expiration date for fixed-term contracts; 2050/12/31 for proper ALAP employees</t>
    <phoneticPr fontId="1"/>
  </si>
  <si>
    <r>
      <t>定期合同的</t>
    </r>
    <r>
      <rPr>
        <b/>
        <sz val="12"/>
        <color theme="1"/>
        <rFont val="NSimSun"/>
        <family val="3"/>
        <charset val="134"/>
      </rPr>
      <t>终</t>
    </r>
    <r>
      <rPr>
        <b/>
        <sz val="12"/>
        <color theme="1"/>
        <rFont val="Meiryo UI"/>
        <family val="3"/>
        <charset val="128"/>
      </rPr>
      <t>止日期；有限期任用</t>
    </r>
    <r>
      <rPr>
        <b/>
        <sz val="12"/>
        <color theme="1"/>
        <rFont val="NSimSun"/>
        <family val="3"/>
        <charset val="134"/>
      </rPr>
      <t>计</t>
    </r>
    <r>
      <rPr>
        <b/>
        <sz val="12"/>
        <color theme="1"/>
        <rFont val="Meiryo UI"/>
        <family val="3"/>
        <charset val="128"/>
      </rPr>
      <t>划适当雇</t>
    </r>
    <r>
      <rPr>
        <b/>
        <sz val="12"/>
        <color theme="1"/>
        <rFont val="NSimSun"/>
        <family val="3"/>
        <charset val="134"/>
      </rPr>
      <t>员</t>
    </r>
    <r>
      <rPr>
        <b/>
        <sz val="12"/>
        <color theme="1"/>
        <rFont val="Meiryo UI"/>
        <family val="3"/>
        <charset val="128"/>
      </rPr>
      <t>的</t>
    </r>
    <r>
      <rPr>
        <b/>
        <sz val="12"/>
        <color theme="1"/>
        <rFont val="NSimSun"/>
        <family val="3"/>
        <charset val="134"/>
      </rPr>
      <t>终</t>
    </r>
    <r>
      <rPr>
        <b/>
        <sz val="12"/>
        <color theme="1"/>
        <rFont val="Meiryo UI"/>
        <family val="3"/>
        <charset val="128"/>
      </rPr>
      <t>止日期</t>
    </r>
    <r>
      <rPr>
        <b/>
        <sz val="12"/>
        <color theme="1"/>
        <rFont val="NSimSun"/>
        <family val="3"/>
        <charset val="134"/>
      </rPr>
      <t>为</t>
    </r>
    <r>
      <rPr>
        <b/>
        <sz val="12"/>
        <color theme="1"/>
        <rFont val="Meiryo UI"/>
        <family val="3"/>
        <charset val="128"/>
      </rPr>
      <t>2050/12/31。</t>
    </r>
    <phoneticPr fontId="1"/>
  </si>
  <si>
    <t>セキュリティ
契約締結日
Date of the Security Contract
担保合同的日期</t>
    <phoneticPr fontId="1"/>
  </si>
  <si>
    <t>個人とのセキュリティ契約締結日（NDA、あるいは情報セキュリティに関する契約）</t>
    <rPh sb="0" eb="2">
      <t>コジン</t>
    </rPh>
    <rPh sb="10" eb="12">
      <t>ケイヤク</t>
    </rPh>
    <rPh sb="12" eb="15">
      <t>テイケツビ</t>
    </rPh>
    <rPh sb="24" eb="26">
      <t>ジョウホウ</t>
    </rPh>
    <rPh sb="33" eb="34">
      <t>カン</t>
    </rPh>
    <rPh sb="36" eb="38">
      <t>ケイヤク</t>
    </rPh>
    <phoneticPr fontId="1"/>
  </si>
  <si>
    <t>Date of security agreement with individual (NDA or information security agreement)</t>
    <phoneticPr fontId="1"/>
  </si>
  <si>
    <r>
      <t>与个人</t>
    </r>
    <r>
      <rPr>
        <b/>
        <sz val="12"/>
        <color theme="1"/>
        <rFont val="NSimSun"/>
        <family val="3"/>
        <charset val="134"/>
      </rPr>
      <t>签订</t>
    </r>
    <r>
      <rPr>
        <b/>
        <sz val="12"/>
        <color theme="1"/>
        <rFont val="Meiryo UI"/>
        <family val="3"/>
        <charset val="128"/>
      </rPr>
      <t>安全</t>
    </r>
    <r>
      <rPr>
        <b/>
        <sz val="12"/>
        <color theme="1"/>
        <rFont val="NSimSun"/>
        <family val="3"/>
        <charset val="134"/>
      </rPr>
      <t>协议</t>
    </r>
    <r>
      <rPr>
        <b/>
        <sz val="12"/>
        <color theme="1"/>
        <rFont val="Meiryo UI"/>
        <family val="3"/>
        <charset val="128"/>
      </rPr>
      <t>的日期(保密</t>
    </r>
    <r>
      <rPr>
        <b/>
        <sz val="12"/>
        <color theme="1"/>
        <rFont val="NSimSun"/>
        <family val="3"/>
        <charset val="134"/>
      </rPr>
      <t>协议</t>
    </r>
    <r>
      <rPr>
        <b/>
        <sz val="12"/>
        <color theme="1"/>
        <rFont val="Meiryo UI"/>
        <family val="3"/>
        <charset val="128"/>
      </rPr>
      <t>或信息安全</t>
    </r>
    <r>
      <rPr>
        <b/>
        <sz val="12"/>
        <color theme="1"/>
        <rFont val="NSimSun"/>
        <family val="3"/>
        <charset val="134"/>
      </rPr>
      <t>协议</t>
    </r>
    <r>
      <rPr>
        <b/>
        <sz val="12"/>
        <color theme="1"/>
        <rFont val="Meiryo UI"/>
        <family val="3"/>
        <charset val="128"/>
      </rPr>
      <t>)</t>
    </r>
    <phoneticPr fontId="1"/>
  </si>
  <si>
    <t>次回ISMS教育予定日
Planned Education Date
计划教育日期</t>
  </si>
  <si>
    <t>ISMS定期教育の予定</t>
    <rPh sb="4" eb="6">
      <t>テイキ</t>
    </rPh>
    <rPh sb="6" eb="8">
      <t>キョウイク</t>
    </rPh>
    <rPh sb="9" eb="11">
      <t>ヨテイ</t>
    </rPh>
    <phoneticPr fontId="1"/>
  </si>
  <si>
    <t>Schedule of ISMS periodic training</t>
    <phoneticPr fontId="1"/>
  </si>
  <si>
    <r>
      <t>ISMS定期培</t>
    </r>
    <r>
      <rPr>
        <b/>
        <sz val="12"/>
        <color theme="1"/>
        <rFont val="NSimSun"/>
        <family val="3"/>
        <charset val="134"/>
      </rPr>
      <t>训时间</t>
    </r>
    <r>
      <rPr>
        <b/>
        <sz val="12"/>
        <color theme="1"/>
        <rFont val="Meiryo UI"/>
        <family val="3"/>
        <charset val="128"/>
      </rPr>
      <t>表</t>
    </r>
    <phoneticPr fontId="1"/>
  </si>
  <si>
    <t>セキュリティ責任者
Security Manager
安全经理</t>
  </si>
  <si>
    <t>相手会社のセキュリティ責任者名。ALAP社員ならNA</t>
    <rPh sb="0" eb="2">
      <t>アイテ</t>
    </rPh>
    <rPh sb="2" eb="4">
      <t>カイシャ</t>
    </rPh>
    <rPh sb="11" eb="14">
      <t>セキニンシャ</t>
    </rPh>
    <rPh sb="14" eb="15">
      <t>メイ</t>
    </rPh>
    <rPh sb="20" eb="22">
      <t>シャイン</t>
    </rPh>
    <phoneticPr fontId="1"/>
  </si>
  <si>
    <t>Name of the person responsible for security at the other company; NA if ALAP employee</t>
    <phoneticPr fontId="1"/>
  </si>
  <si>
    <r>
      <t>另一家公司</t>
    </r>
    <r>
      <rPr>
        <b/>
        <sz val="12"/>
        <color theme="1"/>
        <rFont val="NSimSun"/>
        <family val="3"/>
        <charset val="134"/>
      </rPr>
      <t>负责</t>
    </r>
    <r>
      <rPr>
        <b/>
        <sz val="12"/>
        <color theme="1"/>
        <rFont val="Meiryo UI"/>
        <family val="3"/>
        <charset val="128"/>
      </rPr>
      <t>安全的人</t>
    </r>
    <r>
      <rPr>
        <b/>
        <sz val="12"/>
        <color theme="1"/>
        <rFont val="NSimSun"/>
        <family val="3"/>
        <charset val="134"/>
      </rPr>
      <t>员</t>
    </r>
    <r>
      <rPr>
        <b/>
        <sz val="12"/>
        <color theme="1"/>
        <rFont val="Meiryo UI"/>
        <family val="3"/>
        <charset val="128"/>
      </rPr>
      <t>姓名；如果是ALAP雇</t>
    </r>
    <r>
      <rPr>
        <b/>
        <sz val="12"/>
        <color theme="1"/>
        <rFont val="NSimSun"/>
        <family val="3"/>
        <charset val="134"/>
      </rPr>
      <t>员</t>
    </r>
    <r>
      <rPr>
        <b/>
        <sz val="12"/>
        <color theme="1"/>
        <rFont val="Meiryo UI"/>
        <family val="3"/>
        <charset val="128"/>
      </rPr>
      <t>，</t>
    </r>
    <r>
      <rPr>
        <b/>
        <sz val="12"/>
        <color theme="1"/>
        <rFont val="NSimSun"/>
        <family val="3"/>
        <charset val="134"/>
      </rPr>
      <t>则为</t>
    </r>
    <r>
      <rPr>
        <b/>
        <sz val="12"/>
        <color theme="1"/>
        <rFont val="Meiryo UI"/>
        <family val="3"/>
        <charset val="128"/>
      </rPr>
      <t>NA。</t>
    </r>
    <phoneticPr fontId="1"/>
  </si>
  <si>
    <t>ノートPC
Laptop PC
笔记本电脑</t>
  </si>
  <si>
    <t>資産管理番号。複数の場合はコンマ区切りで羅列。</t>
    <rPh sb="0" eb="2">
      <t>シサン</t>
    </rPh>
    <rPh sb="2" eb="6">
      <t>カンリバンゴウ</t>
    </rPh>
    <rPh sb="7" eb="9">
      <t>フクスウ</t>
    </rPh>
    <rPh sb="10" eb="12">
      <t>バアイ</t>
    </rPh>
    <rPh sb="16" eb="18">
      <t>クギ</t>
    </rPh>
    <rPh sb="20" eb="22">
      <t>ラレツ</t>
    </rPh>
    <phoneticPr fontId="1"/>
  </si>
  <si>
    <t>Asset management number. If there is more than one, list them separated by commas.</t>
    <phoneticPr fontId="1"/>
  </si>
  <si>
    <t>资产管理号。如果有多个，用逗号隔开列出。</t>
    <phoneticPr fontId="1"/>
  </si>
  <si>
    <t>内線スマホ
Smartphone
智能手机</t>
  </si>
  <si>
    <t>Asset management number. If more than one, list them separated by commas.</t>
    <phoneticPr fontId="1"/>
  </si>
  <si>
    <r>
      <t>资产管理号。如果不止一个，</t>
    </r>
    <r>
      <rPr>
        <b/>
        <sz val="12"/>
        <color theme="1"/>
        <rFont val="NSimSun"/>
        <family val="3"/>
        <charset val="134"/>
      </rPr>
      <t>请</t>
    </r>
    <r>
      <rPr>
        <b/>
        <sz val="12"/>
        <color theme="1"/>
        <rFont val="Meiryo UI"/>
        <family val="3"/>
        <charset val="128"/>
      </rPr>
      <t>用逗号隔开列出。</t>
    </r>
    <phoneticPr fontId="1"/>
  </si>
  <si>
    <t>タブレット
Tablet PC
平板电脑</t>
  </si>
  <si>
    <t>Asset Control Number. If more than one, comma-separated list.</t>
    <phoneticPr fontId="1"/>
  </si>
  <si>
    <r>
      <t>资产管理号。如果超</t>
    </r>
    <r>
      <rPr>
        <b/>
        <sz val="12"/>
        <color theme="1"/>
        <rFont val="NSimSun"/>
        <family val="3"/>
        <charset val="134"/>
      </rPr>
      <t>过</t>
    </r>
    <r>
      <rPr>
        <b/>
        <sz val="12"/>
        <color theme="1"/>
        <rFont val="Meiryo UI"/>
        <family val="3"/>
        <charset val="128"/>
      </rPr>
      <t>一个，用逗号隔开列出。</t>
    </r>
    <phoneticPr fontId="1"/>
  </si>
  <si>
    <t>USBメモリ等
Medium like USBMemory
介质，如USBMemory</t>
  </si>
  <si>
    <t>Asset management number. If more than one, comma-separated list.</t>
    <phoneticPr fontId="1"/>
  </si>
  <si>
    <t>システム
System name
系统名称</t>
  </si>
  <si>
    <t>名称。コンマ区切りで羅列。</t>
    <rPh sb="0" eb="2">
      <t>メイショウ</t>
    </rPh>
    <phoneticPr fontId="1"/>
  </si>
  <si>
    <t>Name. Comma-separated list.</t>
    <phoneticPr fontId="1"/>
  </si>
  <si>
    <t>名称。逗号分隔的列表。</t>
    <phoneticPr fontId="1"/>
  </si>
  <si>
    <t>情報
Infomation Name
信息名称</t>
  </si>
  <si>
    <t>試作品
Prototype name
原型名称</t>
  </si>
  <si>
    <t>逗号分隔的列表。逗号分隔的列表。</t>
    <phoneticPr fontId="1"/>
  </si>
  <si>
    <t xml:space="preserve">
＜モバイル機器管理＞&lt;Mobile Device Management&gt;&lt;移动设备管理&gt;
</t>
  </si>
  <si>
    <t>モバイル機器資産名
Name of the mobile asset
移动资产的名称</t>
  </si>
  <si>
    <t>例：Dynabook　A123　　　USBメモリ32GB</t>
    <rPh sb="0" eb="1">
      <t>レイ</t>
    </rPh>
    <phoneticPr fontId="1"/>
  </si>
  <si>
    <t>Example: Dynabook A123 USB memory 32GB</t>
    <phoneticPr fontId="1"/>
  </si>
  <si>
    <t>例如：Dynabook A123 USB内存32GB。Dynabook A123 USB内存32GB</t>
    <phoneticPr fontId="1"/>
  </si>
  <si>
    <t>資産管理番号
Asset Number
资产数量</t>
  </si>
  <si>
    <t>管理責任者（貸出し元）
Manager of the userside
用户端经理</t>
  </si>
  <si>
    <t>保管組織（貸出元）
Managing organization of the Userside
管理用户侧的组织结构</t>
  </si>
  <si>
    <t>社内要件・使用制限
Company Internal Requirement/Constraints
公司内部要求/限制</t>
  </si>
  <si>
    <t>例：社外持出し禁止</t>
    <rPh sb="0" eb="1">
      <t>レイ</t>
    </rPh>
    <rPh sb="2" eb="4">
      <t>シャガイ</t>
    </rPh>
    <rPh sb="4" eb="5">
      <t>モ</t>
    </rPh>
    <phoneticPr fontId="1"/>
  </si>
  <si>
    <t>Example: Prohibited to take outside the company</t>
  </si>
  <si>
    <r>
      <t>例子 禁止</t>
    </r>
    <r>
      <rPr>
        <b/>
        <sz val="12"/>
        <color theme="1"/>
        <rFont val="NSimSun"/>
        <family val="3"/>
        <charset val="134"/>
      </rPr>
      <t>带</t>
    </r>
    <r>
      <rPr>
        <b/>
        <sz val="12"/>
        <color theme="1"/>
        <rFont val="Meiryo UI"/>
        <family val="3"/>
        <charset val="128"/>
      </rPr>
      <t>出公司</t>
    </r>
  </si>
  <si>
    <t>使用者（貸出し先）
Rent user
租赁用户</t>
  </si>
  <si>
    <t xml:space="preserve">管理責任者（貸出し先）
Rent Manager 
租金经理 </t>
  </si>
  <si>
    <t>目的
Purpose
宗旨</t>
  </si>
  <si>
    <t>貸出期間
Rental period
租期</t>
  </si>
  <si>
    <t>「長期」「定期：2020/8/5--2021/3/31」</t>
    <rPh sb="1" eb="3">
      <t>チョウキ</t>
    </rPh>
    <rPh sb="5" eb="7">
      <t>テイキ</t>
    </rPh>
    <phoneticPr fontId="1"/>
  </si>
  <si>
    <t>Long-term", "Period: 8/5/2020--3/31/2021</t>
    <phoneticPr fontId="1"/>
  </si>
  <si>
    <r>
      <t>长期"、"期</t>
    </r>
    <r>
      <rPr>
        <b/>
        <sz val="12"/>
        <color theme="1"/>
        <rFont val="NSimSun"/>
        <family val="3"/>
        <charset val="134"/>
      </rPr>
      <t>间</t>
    </r>
    <r>
      <rPr>
        <b/>
        <sz val="12"/>
        <color theme="1"/>
        <rFont val="Meiryo UI"/>
        <family val="3"/>
        <charset val="128"/>
      </rPr>
      <t>。8/5/2020--3/31/2021</t>
    </r>
    <phoneticPr fontId="1"/>
  </si>
  <si>
    <t>保管場所（貸出し先）
Managing place
管理场所</t>
  </si>
  <si>
    <t>ｘｘ技術部　施錠キャビネット</t>
    <rPh sb="2" eb="5">
      <t>ギジュツブ</t>
    </rPh>
    <rPh sb="6" eb="8">
      <t>セジョウ</t>
    </rPh>
    <phoneticPr fontId="1"/>
  </si>
  <si>
    <t>xx Engineering Department Locking cabinet</t>
    <phoneticPr fontId="1"/>
  </si>
  <si>
    <r>
      <t>xx工程部</t>
    </r>
    <r>
      <rPr>
        <b/>
        <sz val="12"/>
        <color theme="1"/>
        <rFont val="NSimSun"/>
        <family val="3"/>
        <charset val="134"/>
      </rPr>
      <t>锁</t>
    </r>
    <r>
      <rPr>
        <b/>
        <sz val="12"/>
        <color theme="1"/>
        <rFont val="Meiryo UI"/>
        <family val="3"/>
        <charset val="128"/>
      </rPr>
      <t>柜</t>
    </r>
    <phoneticPr fontId="1"/>
  </si>
  <si>
    <t>モバイル機器資産名
Mobile Asset Name
移动资产名称</t>
  </si>
  <si>
    <t>例：「個人用ノートPC」「内線スマホ」等、一般化した書き方OK</t>
    <rPh sb="0" eb="1">
      <t>レイ</t>
    </rPh>
    <rPh sb="3" eb="5">
      <t>コジン</t>
    </rPh>
    <rPh sb="5" eb="6">
      <t>ヨウ</t>
    </rPh>
    <rPh sb="13" eb="15">
      <t>ナイセン</t>
    </rPh>
    <rPh sb="19" eb="20">
      <t>トウ</t>
    </rPh>
    <rPh sb="21" eb="24">
      <t>イッパンカ</t>
    </rPh>
    <rPh sb="26" eb="27">
      <t>カ</t>
    </rPh>
    <rPh sb="28" eb="29">
      <t>カタ</t>
    </rPh>
    <phoneticPr fontId="1"/>
  </si>
  <si>
    <t>Example: "Personal laptop", "Internal phone", etc. Generalized writing is OK.</t>
    <phoneticPr fontId="1"/>
  </si>
  <si>
    <r>
      <t>例如："个人笔</t>
    </r>
    <r>
      <rPr>
        <b/>
        <sz val="12"/>
        <color theme="1"/>
        <rFont val="NSimSun"/>
        <family val="3"/>
        <charset val="134"/>
      </rPr>
      <t>记</t>
    </r>
    <r>
      <rPr>
        <b/>
        <sz val="12"/>
        <color theme="1"/>
        <rFont val="Meiryo UI"/>
        <family val="3"/>
        <charset val="128"/>
      </rPr>
      <t>本</t>
    </r>
    <r>
      <rPr>
        <b/>
        <sz val="12"/>
        <color theme="1"/>
        <rFont val="NSimSun"/>
        <family val="3"/>
        <charset val="134"/>
      </rPr>
      <t>电脑</t>
    </r>
    <r>
      <rPr>
        <b/>
        <sz val="12"/>
        <color theme="1"/>
        <rFont val="Meiryo UI"/>
        <family val="3"/>
        <charset val="128"/>
      </rPr>
      <t>"、"内部</t>
    </r>
    <r>
      <rPr>
        <b/>
        <sz val="12"/>
        <color theme="1"/>
        <rFont val="NSimSun"/>
        <family val="3"/>
        <charset val="134"/>
      </rPr>
      <t>电话</t>
    </r>
    <r>
      <rPr>
        <b/>
        <sz val="12"/>
        <color theme="1"/>
        <rFont val="Meiryo UI"/>
        <family val="3"/>
        <charset val="128"/>
      </rPr>
      <t xml:space="preserve"> "等。"个人笔</t>
    </r>
    <r>
      <rPr>
        <b/>
        <sz val="12"/>
        <color theme="1"/>
        <rFont val="NSimSun"/>
        <family val="3"/>
        <charset val="134"/>
      </rPr>
      <t>记</t>
    </r>
    <r>
      <rPr>
        <b/>
        <sz val="12"/>
        <color theme="1"/>
        <rFont val="Meiryo UI"/>
        <family val="3"/>
        <charset val="128"/>
      </rPr>
      <t>本</t>
    </r>
    <r>
      <rPr>
        <b/>
        <sz val="12"/>
        <color theme="1"/>
        <rFont val="NSimSun"/>
        <family val="3"/>
        <charset val="134"/>
      </rPr>
      <t>电脑</t>
    </r>
    <r>
      <rPr>
        <b/>
        <sz val="12"/>
        <color theme="1"/>
        <rFont val="Meiryo UI"/>
        <family val="3"/>
        <charset val="128"/>
      </rPr>
      <t>"、"内部</t>
    </r>
    <r>
      <rPr>
        <b/>
        <sz val="12"/>
        <color theme="1"/>
        <rFont val="NSimSun"/>
        <family val="3"/>
        <charset val="134"/>
      </rPr>
      <t>电话</t>
    </r>
    <r>
      <rPr>
        <b/>
        <sz val="12"/>
        <color theme="1"/>
        <rFont val="Meiryo UI"/>
        <family val="3"/>
        <charset val="128"/>
      </rPr>
      <t xml:space="preserve"> "等。</t>
    </r>
    <r>
      <rPr>
        <b/>
        <sz val="12"/>
        <color theme="1"/>
        <rFont val="NSimSun"/>
        <family val="3"/>
        <charset val="134"/>
      </rPr>
      <t>笼统</t>
    </r>
    <r>
      <rPr>
        <b/>
        <sz val="12"/>
        <color theme="1"/>
        <rFont val="Meiryo UI"/>
        <family val="3"/>
        <charset val="128"/>
      </rPr>
      <t>的写法也可以。</t>
    </r>
    <phoneticPr fontId="1"/>
  </si>
  <si>
    <t>資産管理番号
Number
数量</t>
  </si>
  <si>
    <t>特定する場合は記入。</t>
    <rPh sb="0" eb="2">
      <t>トクテイ</t>
    </rPh>
    <rPh sb="4" eb="6">
      <t>バアイ</t>
    </rPh>
    <rPh sb="7" eb="9">
      <t>キニュウ</t>
    </rPh>
    <phoneticPr fontId="1"/>
  </si>
  <si>
    <t>Fill in if specification required.</t>
    <phoneticPr fontId="1"/>
  </si>
  <si>
    <r>
      <t>如有</t>
    </r>
    <r>
      <rPr>
        <b/>
        <sz val="12"/>
        <color theme="1"/>
        <rFont val="NSimSun"/>
        <family val="3"/>
        <charset val="134"/>
      </rPr>
      <t>规</t>
    </r>
    <r>
      <rPr>
        <b/>
        <sz val="12"/>
        <color theme="1"/>
        <rFont val="Meiryo UI"/>
        <family val="3"/>
        <charset val="128"/>
      </rPr>
      <t>格要求的填写。</t>
    </r>
    <phoneticPr fontId="1"/>
  </si>
  <si>
    <t>管理責任者（貸出し元）
Manger
经理</t>
  </si>
  <si>
    <r>
      <t>如</t>
    </r>
    <r>
      <rPr>
        <b/>
        <sz val="12"/>
        <color theme="1"/>
        <rFont val="NSimSun"/>
        <family val="3"/>
        <charset val="134"/>
      </rPr>
      <t>规</t>
    </r>
    <r>
      <rPr>
        <b/>
        <sz val="12"/>
        <color theme="1"/>
        <rFont val="Meiryo UI"/>
        <family val="3"/>
        <charset val="128"/>
      </rPr>
      <t>格要求填写。</t>
    </r>
    <phoneticPr fontId="1"/>
  </si>
  <si>
    <t>ソフトウェア名称
Software Name
软件名称</t>
  </si>
  <si>
    <t>外部サービスも含む</t>
    <rPh sb="0" eb="2">
      <t>ガイブ</t>
    </rPh>
    <rPh sb="7" eb="8">
      <t>フク</t>
    </rPh>
    <phoneticPr fontId="1"/>
  </si>
  <si>
    <t>Include external services.</t>
    <phoneticPr fontId="1"/>
  </si>
  <si>
    <r>
      <t>包括</t>
    </r>
    <r>
      <rPr>
        <b/>
        <sz val="12"/>
        <color theme="1"/>
        <rFont val="NSimSun"/>
        <family val="3"/>
        <charset val="134"/>
      </rPr>
      <t>对</t>
    </r>
    <r>
      <rPr>
        <b/>
        <sz val="12"/>
        <color theme="1"/>
        <rFont val="Meiryo UI"/>
        <family val="3"/>
        <charset val="128"/>
      </rPr>
      <t>外服</t>
    </r>
    <r>
      <rPr>
        <b/>
        <sz val="12"/>
        <color theme="1"/>
        <rFont val="NSimSun"/>
        <family val="3"/>
        <charset val="134"/>
      </rPr>
      <t>务</t>
    </r>
    <r>
      <rPr>
        <b/>
        <sz val="12"/>
        <color theme="1"/>
        <rFont val="Meiryo UI"/>
        <family val="3"/>
        <charset val="128"/>
      </rPr>
      <t>。</t>
    </r>
    <phoneticPr fontId="1"/>
  </si>
  <si>
    <t>ソフトウェアバージョン
Software Version
软件版本</t>
  </si>
  <si>
    <t>目的・理由
Purpose of the software
软件的目的</t>
  </si>
  <si>
    <t>禁止の場合は理由を。</t>
    <rPh sb="0" eb="2">
      <t>キンシ</t>
    </rPh>
    <rPh sb="3" eb="5">
      <t>バアイ</t>
    </rPh>
    <rPh sb="6" eb="8">
      <t>リユウ</t>
    </rPh>
    <phoneticPr fontId="1"/>
  </si>
  <si>
    <t>If prohibited, give the reason.</t>
  </si>
  <si>
    <r>
      <t>如果禁止，</t>
    </r>
    <r>
      <rPr>
        <b/>
        <sz val="12"/>
        <color theme="1"/>
        <rFont val="NSimSun"/>
        <family val="3"/>
        <charset val="134"/>
      </rPr>
      <t>请说</t>
    </r>
    <r>
      <rPr>
        <b/>
        <sz val="12"/>
        <color theme="1"/>
        <rFont val="Meiryo UI"/>
        <family val="3"/>
        <charset val="128"/>
      </rPr>
      <t>明原因。</t>
    </r>
  </si>
  <si>
    <t>セキュリティエリア名
Secity Area Name
分区名称</t>
  </si>
  <si>
    <t>例：３号館試作エリアA-21</t>
    <rPh sb="0" eb="1">
      <t>レイ</t>
    </rPh>
    <rPh sb="3" eb="5">
      <t>ゴウカン</t>
    </rPh>
    <rPh sb="5" eb="7">
      <t>シサク</t>
    </rPh>
    <phoneticPr fontId="1"/>
  </si>
  <si>
    <t>Example: Building 3, Prototype Area A-21</t>
  </si>
  <si>
    <t>例子：3号楼原型区A-21 3号楼，原型区A-21</t>
  </si>
  <si>
    <t>エリア管理番号
Area Numger
地区编号</t>
  </si>
  <si>
    <t>例：３A21-C</t>
    <rPh sb="0" eb="1">
      <t>レイ</t>
    </rPh>
    <phoneticPr fontId="1"/>
  </si>
  <si>
    <t>Example: 3A21-C</t>
  </si>
  <si>
    <t>例子：3A21-C 3A21-C</t>
  </si>
  <si>
    <t>管理責任者
Manager of the userside
用户端经理</t>
  </si>
  <si>
    <t>建物スペック
Building Specification
建筑规范</t>
  </si>
  <si>
    <t>例：RC２階建の2階</t>
    <rPh sb="0" eb="1">
      <t>レイ</t>
    </rPh>
    <rPh sb="5" eb="7">
      <t>カイダ</t>
    </rPh>
    <rPh sb="9" eb="10">
      <t>カイ</t>
    </rPh>
    <phoneticPr fontId="1"/>
  </si>
  <si>
    <t>Example: Second floor of RC building</t>
    <phoneticPr fontId="1"/>
  </si>
  <si>
    <r>
      <t>例：RC楼二</t>
    </r>
    <r>
      <rPr>
        <b/>
        <sz val="12"/>
        <color theme="1"/>
        <rFont val="NSimSun"/>
        <family val="3"/>
        <charset val="134"/>
      </rPr>
      <t>层</t>
    </r>
    <r>
      <rPr>
        <b/>
        <sz val="12"/>
        <color theme="1"/>
        <rFont val="Meiryo UI"/>
        <family val="3"/>
        <charset val="128"/>
      </rPr>
      <t xml:space="preserve"> </t>
    </r>
    <r>
      <rPr>
        <b/>
        <sz val="12"/>
        <color theme="1"/>
        <rFont val="NSimSun"/>
        <family val="3"/>
        <charset val="134"/>
      </rPr>
      <t>驻</t>
    </r>
    <r>
      <rPr>
        <b/>
        <sz val="12"/>
        <color theme="1"/>
        <rFont val="Meiryo UI"/>
        <family val="3"/>
        <charset val="128"/>
      </rPr>
      <t>地</t>
    </r>
    <r>
      <rPr>
        <b/>
        <sz val="12"/>
        <color theme="1"/>
        <rFont val="NSimSun"/>
        <family val="3"/>
        <charset val="134"/>
      </rPr>
      <t>协调员</t>
    </r>
    <r>
      <rPr>
        <b/>
        <sz val="12"/>
        <color theme="1"/>
        <rFont val="Meiryo UI"/>
        <family val="3"/>
        <charset val="128"/>
      </rPr>
      <t>大楼二楼</t>
    </r>
    <phoneticPr fontId="1"/>
  </si>
  <si>
    <t>視界遮蔽スペック
Sight Protection specification
视线保护规格</t>
  </si>
  <si>
    <t>例：窓なく外部から見えず。通路側に壁、入り口2箇所、仕切りで遮蔽</t>
    <rPh sb="0" eb="1">
      <t>レイ</t>
    </rPh>
    <rPh sb="2" eb="3">
      <t>マド</t>
    </rPh>
    <rPh sb="5" eb="7">
      <t>ガイブ</t>
    </rPh>
    <rPh sb="9" eb="10">
      <t>ミ</t>
    </rPh>
    <rPh sb="13" eb="15">
      <t>ツウロ</t>
    </rPh>
    <rPh sb="15" eb="16">
      <t>ガワ</t>
    </rPh>
    <rPh sb="17" eb="18">
      <t>カベ</t>
    </rPh>
    <rPh sb="19" eb="20">
      <t>イ</t>
    </rPh>
    <rPh sb="21" eb="22">
      <t>グチ</t>
    </rPh>
    <rPh sb="23" eb="25">
      <t>カショ</t>
    </rPh>
    <rPh sb="26" eb="28">
      <t>シキ</t>
    </rPh>
    <rPh sb="30" eb="32">
      <t>シャヘイ</t>
    </rPh>
    <phoneticPr fontId="1"/>
  </si>
  <si>
    <t>Example: No window, not visible from outside. Wall on the aisle side, two entrances, and a partition to block the view.</t>
    <phoneticPr fontId="1"/>
  </si>
  <si>
    <r>
      <t>例子：没有窗</t>
    </r>
    <r>
      <rPr>
        <b/>
        <sz val="12"/>
        <color theme="1"/>
        <rFont val="NSimSun"/>
        <family val="3"/>
        <charset val="134"/>
      </rPr>
      <t>户</t>
    </r>
    <r>
      <rPr>
        <b/>
        <sz val="12"/>
        <color theme="1"/>
        <rFont val="Meiryo UI"/>
        <family val="3"/>
        <charset val="128"/>
      </rPr>
      <t>，从外面看不到。没有窗</t>
    </r>
    <r>
      <rPr>
        <b/>
        <sz val="12"/>
        <color theme="1"/>
        <rFont val="NSimSun"/>
        <family val="3"/>
        <charset val="134"/>
      </rPr>
      <t>户</t>
    </r>
    <r>
      <rPr>
        <b/>
        <sz val="12"/>
        <color theme="1"/>
        <rFont val="Meiryo UI"/>
        <family val="3"/>
        <charset val="128"/>
      </rPr>
      <t>，从外面看不到。</t>
    </r>
    <r>
      <rPr>
        <b/>
        <sz val="12"/>
        <color theme="1"/>
        <rFont val="NSimSun"/>
        <family val="3"/>
        <charset val="134"/>
      </rPr>
      <t>过</t>
    </r>
    <r>
      <rPr>
        <b/>
        <sz val="12"/>
        <color theme="1"/>
        <rFont val="Meiryo UI"/>
        <family val="3"/>
        <charset val="128"/>
      </rPr>
      <t>道一</t>
    </r>
    <r>
      <rPr>
        <b/>
        <sz val="12"/>
        <color theme="1"/>
        <rFont val="NSimSun"/>
        <family val="3"/>
        <charset val="134"/>
      </rPr>
      <t>侧</t>
    </r>
    <r>
      <rPr>
        <b/>
        <sz val="12"/>
        <color theme="1"/>
        <rFont val="Meiryo UI"/>
        <family val="3"/>
        <charset val="128"/>
      </rPr>
      <t>有</t>
    </r>
    <r>
      <rPr>
        <b/>
        <sz val="12"/>
        <color theme="1"/>
        <rFont val="NSimSun"/>
        <family val="3"/>
        <charset val="134"/>
      </rPr>
      <t>墙</t>
    </r>
    <r>
      <rPr>
        <b/>
        <sz val="12"/>
        <color theme="1"/>
        <rFont val="Meiryo UI"/>
        <family val="3"/>
        <charset val="128"/>
      </rPr>
      <t>，有两个入口，</t>
    </r>
    <r>
      <rPr>
        <b/>
        <sz val="12"/>
        <color theme="1"/>
        <rFont val="NSimSun"/>
        <family val="3"/>
        <charset val="134"/>
      </rPr>
      <t>还</t>
    </r>
    <r>
      <rPr>
        <b/>
        <sz val="12"/>
        <color theme="1"/>
        <rFont val="Meiryo UI"/>
        <family val="3"/>
        <charset val="128"/>
      </rPr>
      <t>有一个隔断</t>
    </r>
    <r>
      <rPr>
        <b/>
        <sz val="12"/>
        <color theme="1"/>
        <rFont val="NSimSun"/>
        <family val="3"/>
        <charset val="134"/>
      </rPr>
      <t>挡</t>
    </r>
    <r>
      <rPr>
        <b/>
        <sz val="12"/>
        <color theme="1"/>
        <rFont val="Meiryo UI"/>
        <family val="3"/>
        <charset val="128"/>
      </rPr>
      <t>住</t>
    </r>
    <r>
      <rPr>
        <b/>
        <sz val="12"/>
        <color theme="1"/>
        <rFont val="NSimSun"/>
        <family val="3"/>
        <charset val="134"/>
      </rPr>
      <t>视线</t>
    </r>
    <r>
      <rPr>
        <b/>
        <sz val="12"/>
        <color theme="1"/>
        <rFont val="Meiryo UI"/>
        <family val="3"/>
        <charset val="128"/>
      </rPr>
      <t>。</t>
    </r>
    <phoneticPr fontId="1"/>
  </si>
  <si>
    <t>入退室監視スペック
Entrance/Exit monitoring specification
入口/出口监测规格</t>
  </si>
  <si>
    <t>例：登録メンバーだけがIDカードで入退室</t>
    <rPh sb="0" eb="1">
      <t>レイ</t>
    </rPh>
    <rPh sb="2" eb="4">
      <t>トウロク</t>
    </rPh>
    <rPh sb="17" eb="20">
      <t>ニュウタイシツ</t>
    </rPh>
    <phoneticPr fontId="1"/>
  </si>
  <si>
    <t>Example: Only registered members can enter and exit with ID cards.</t>
    <phoneticPr fontId="1"/>
  </si>
  <si>
    <r>
      <t>例：不</t>
    </r>
    <r>
      <rPr>
        <b/>
        <sz val="12"/>
        <color theme="1"/>
        <rFont val="NSimSun"/>
        <family val="3"/>
        <charset val="134"/>
      </rPr>
      <t>设</t>
    </r>
    <r>
      <rPr>
        <b/>
        <sz val="12"/>
        <color theme="1"/>
        <rFont val="Meiryo UI"/>
        <family val="3"/>
        <charset val="128"/>
      </rPr>
      <t>窗口。只有登</t>
    </r>
    <r>
      <rPr>
        <b/>
        <sz val="12"/>
        <color theme="1"/>
        <rFont val="NSimSun"/>
        <family val="3"/>
        <charset val="134"/>
      </rPr>
      <t>记</t>
    </r>
    <r>
      <rPr>
        <b/>
        <sz val="12"/>
        <color theme="1"/>
        <rFont val="Meiryo UI"/>
        <family val="3"/>
        <charset val="128"/>
      </rPr>
      <t>的会</t>
    </r>
    <r>
      <rPr>
        <b/>
        <sz val="12"/>
        <color theme="1"/>
        <rFont val="NSimSun"/>
        <family val="3"/>
        <charset val="134"/>
      </rPr>
      <t>员</t>
    </r>
    <r>
      <rPr>
        <b/>
        <sz val="12"/>
        <color theme="1"/>
        <rFont val="Meiryo UI"/>
        <family val="3"/>
        <charset val="128"/>
      </rPr>
      <t>才能凭身份</t>
    </r>
    <r>
      <rPr>
        <b/>
        <sz val="12"/>
        <color theme="1"/>
        <rFont val="NSimSun"/>
        <family val="3"/>
        <charset val="134"/>
      </rPr>
      <t>证进</t>
    </r>
    <r>
      <rPr>
        <b/>
        <sz val="12"/>
        <color theme="1"/>
        <rFont val="Meiryo UI"/>
        <family val="3"/>
        <charset val="128"/>
      </rPr>
      <t>出。</t>
    </r>
    <phoneticPr fontId="1"/>
  </si>
  <si>
    <t>防災状況
Disaster Prevention status
防灾状况</t>
  </si>
  <si>
    <t>防火扉、スプリンクラー。　設備耐震。　洪水ハザードマップで黄色、床高１M</t>
    <rPh sb="0" eb="2">
      <t>ボウカ</t>
    </rPh>
    <rPh sb="2" eb="3">
      <t>トビラ</t>
    </rPh>
    <rPh sb="13" eb="15">
      <t>セツビ</t>
    </rPh>
    <rPh sb="15" eb="17">
      <t>タイシン</t>
    </rPh>
    <rPh sb="19" eb="21">
      <t>コウズイ</t>
    </rPh>
    <rPh sb="29" eb="31">
      <t>キイロ</t>
    </rPh>
    <rPh sb="32" eb="33">
      <t>ユカ</t>
    </rPh>
    <rPh sb="33" eb="34">
      <t>コウ</t>
    </rPh>
    <phoneticPr fontId="1"/>
  </si>
  <si>
    <r>
      <t>Fire doors, sprinklers.</t>
    </r>
    <r>
      <rPr>
        <b/>
        <sz val="12"/>
        <color theme="1"/>
        <rFont val="Meiryo UI"/>
        <family val="3"/>
        <charset val="128"/>
      </rPr>
      <t>　</t>
    </r>
    <r>
      <rPr>
        <b/>
        <sz val="12"/>
        <color theme="1"/>
        <rFont val="Arial"/>
        <family val="2"/>
      </rPr>
      <t>Facilities earthquake-proof.</t>
    </r>
    <r>
      <rPr>
        <b/>
        <sz val="12"/>
        <color theme="1"/>
        <rFont val="Meiryo UI"/>
        <family val="3"/>
        <charset val="128"/>
      </rPr>
      <t>　</t>
    </r>
    <r>
      <rPr>
        <b/>
        <sz val="12"/>
        <color theme="1"/>
        <rFont val="Arial"/>
        <family val="2"/>
      </rPr>
      <t>Yellow on flood hazard map, floor height 1M</t>
    </r>
    <phoneticPr fontId="1"/>
  </si>
  <si>
    <r>
      <t>防火</t>
    </r>
    <r>
      <rPr>
        <b/>
        <sz val="12"/>
        <color theme="1"/>
        <rFont val="NSimSun"/>
        <family val="3"/>
        <charset val="134"/>
      </rPr>
      <t>门</t>
    </r>
    <r>
      <rPr>
        <b/>
        <sz val="12"/>
        <color theme="1"/>
        <rFont val="Meiryo UI"/>
        <family val="3"/>
        <charset val="128"/>
      </rPr>
      <t>、</t>
    </r>
    <r>
      <rPr>
        <b/>
        <sz val="12"/>
        <color theme="1"/>
        <rFont val="NSimSun"/>
        <family val="3"/>
        <charset val="134"/>
      </rPr>
      <t>喷</t>
    </r>
    <r>
      <rPr>
        <b/>
        <sz val="12"/>
        <color theme="1"/>
        <rFont val="Meiryo UI"/>
        <family val="3"/>
        <charset val="128"/>
      </rPr>
      <t>淋</t>
    </r>
    <r>
      <rPr>
        <b/>
        <sz val="12"/>
        <color theme="1"/>
        <rFont val="NSimSun"/>
        <family val="3"/>
        <charset val="134"/>
      </rPr>
      <t>设</t>
    </r>
    <r>
      <rPr>
        <b/>
        <sz val="12"/>
        <color theme="1"/>
        <rFont val="Meiryo UI"/>
        <family val="3"/>
        <charset val="128"/>
      </rPr>
      <t>施。　</t>
    </r>
    <r>
      <rPr>
        <b/>
        <sz val="12"/>
        <color theme="1"/>
        <rFont val="NSimSun"/>
        <family val="3"/>
        <charset val="134"/>
      </rPr>
      <t>设</t>
    </r>
    <r>
      <rPr>
        <b/>
        <sz val="12"/>
        <color theme="1"/>
        <rFont val="Meiryo UI"/>
        <family val="3"/>
        <charset val="128"/>
      </rPr>
      <t>施防震。　洪水灾害</t>
    </r>
    <r>
      <rPr>
        <b/>
        <sz val="12"/>
        <color theme="1"/>
        <rFont val="NSimSun"/>
        <family val="3"/>
        <charset val="134"/>
      </rPr>
      <t>图</t>
    </r>
    <r>
      <rPr>
        <b/>
        <sz val="12"/>
        <color theme="1"/>
        <rFont val="Meiryo UI"/>
        <family val="3"/>
        <charset val="128"/>
      </rPr>
      <t>上</t>
    </r>
    <r>
      <rPr>
        <b/>
        <sz val="12"/>
        <color theme="1"/>
        <rFont val="NSimSun"/>
        <family val="3"/>
        <charset val="134"/>
      </rPr>
      <t>为</t>
    </r>
    <r>
      <rPr>
        <b/>
        <sz val="12"/>
        <color theme="1"/>
        <rFont val="Meiryo UI"/>
        <family val="3"/>
        <charset val="128"/>
      </rPr>
      <t>黄色，楼</t>
    </r>
    <r>
      <rPr>
        <b/>
        <sz val="12"/>
        <color theme="1"/>
        <rFont val="NSimSun"/>
        <family val="3"/>
        <charset val="134"/>
      </rPr>
      <t>层</t>
    </r>
    <r>
      <rPr>
        <b/>
        <sz val="12"/>
        <color theme="1"/>
        <rFont val="Meiryo UI"/>
        <family val="3"/>
        <charset val="128"/>
      </rPr>
      <t>高度1M。</t>
    </r>
    <phoneticPr fontId="1"/>
  </si>
  <si>
    <t>緊急時対応
Emergency action
紧急行动</t>
  </si>
  <si>
    <t>正門警備室に自動通報、警備員対応</t>
    <rPh sb="0" eb="2">
      <t>セイモン</t>
    </rPh>
    <rPh sb="2" eb="5">
      <t>ケイビシツ</t>
    </rPh>
    <rPh sb="6" eb="8">
      <t>ジドウ</t>
    </rPh>
    <rPh sb="8" eb="10">
      <t>ツウホウ</t>
    </rPh>
    <rPh sb="11" eb="14">
      <t>ケイビイン</t>
    </rPh>
    <rPh sb="14" eb="16">
      <t>タイオウ</t>
    </rPh>
    <phoneticPr fontId="1"/>
  </si>
  <si>
    <t>Automatic notification to the main gate security office, security guards respond</t>
    <phoneticPr fontId="1"/>
  </si>
  <si>
    <r>
      <t>自</t>
    </r>
    <r>
      <rPr>
        <b/>
        <sz val="12"/>
        <color theme="1"/>
        <rFont val="NSimSun"/>
        <family val="3"/>
        <charset val="134"/>
      </rPr>
      <t>动</t>
    </r>
    <r>
      <rPr>
        <b/>
        <sz val="12"/>
        <color theme="1"/>
        <rFont val="Meiryo UI"/>
        <family val="3"/>
        <charset val="128"/>
      </rPr>
      <t>通知大</t>
    </r>
    <r>
      <rPr>
        <b/>
        <sz val="12"/>
        <color theme="1"/>
        <rFont val="NSimSun"/>
        <family val="3"/>
        <charset val="134"/>
      </rPr>
      <t>门</t>
    </r>
    <r>
      <rPr>
        <b/>
        <sz val="12"/>
        <color theme="1"/>
        <rFont val="Meiryo UI"/>
        <family val="3"/>
        <charset val="128"/>
      </rPr>
      <t>保安</t>
    </r>
    <r>
      <rPr>
        <b/>
        <sz val="12"/>
        <color theme="1"/>
        <rFont val="NSimSun"/>
        <family val="3"/>
        <charset val="134"/>
      </rPr>
      <t>处</t>
    </r>
    <r>
      <rPr>
        <b/>
        <sz val="12"/>
        <color theme="1"/>
        <rFont val="Meiryo UI"/>
        <family val="3"/>
        <charset val="128"/>
      </rPr>
      <t>，保安</t>
    </r>
    <r>
      <rPr>
        <b/>
        <sz val="12"/>
        <color theme="1"/>
        <rFont val="NSimSun"/>
        <family val="3"/>
        <charset val="134"/>
      </rPr>
      <t>员</t>
    </r>
    <r>
      <rPr>
        <b/>
        <sz val="12"/>
        <color theme="1"/>
        <rFont val="Meiryo UI"/>
        <family val="3"/>
        <charset val="128"/>
      </rPr>
      <t>响</t>
    </r>
    <r>
      <rPr>
        <b/>
        <sz val="12"/>
        <color theme="1"/>
        <rFont val="NSimSun"/>
        <family val="3"/>
        <charset val="134"/>
      </rPr>
      <t>应</t>
    </r>
    <r>
      <rPr>
        <b/>
        <sz val="12"/>
        <color theme="1"/>
        <rFont val="Meiryo UI"/>
        <family val="3"/>
        <charset val="128"/>
      </rPr>
      <t>。</t>
    </r>
    <phoneticPr fontId="1"/>
  </si>
  <si>
    <t>対応可能機密区分
Confidentiality Class
保密类</t>
  </si>
  <si>
    <t>S/A/B/C  （環境だけ見た時の対応可能レベル。）</t>
    <rPh sb="10" eb="12">
      <t>カンキョウ</t>
    </rPh>
    <rPh sb="14" eb="15">
      <t>ミ</t>
    </rPh>
    <rPh sb="16" eb="17">
      <t>トキ</t>
    </rPh>
    <rPh sb="18" eb="20">
      <t>タイオウ</t>
    </rPh>
    <rPh sb="20" eb="22">
      <t>カノウ</t>
    </rPh>
    <phoneticPr fontId="1"/>
  </si>
  <si>
    <t>S/A/B/C (Possible levels when only looking at the environment.)</t>
    <phoneticPr fontId="1"/>
  </si>
  <si>
    <r>
      <t>S/A/B/C(只看</t>
    </r>
    <r>
      <rPr>
        <b/>
        <sz val="12"/>
        <color theme="1"/>
        <rFont val="NSimSun"/>
        <family val="3"/>
        <charset val="134"/>
      </rPr>
      <t>环</t>
    </r>
    <r>
      <rPr>
        <b/>
        <sz val="12"/>
        <color theme="1"/>
        <rFont val="Meiryo UI"/>
        <family val="3"/>
        <charset val="128"/>
      </rPr>
      <t>境</t>
    </r>
    <r>
      <rPr>
        <b/>
        <sz val="12"/>
        <color theme="1"/>
        <rFont val="NSimSun"/>
        <family val="3"/>
        <charset val="134"/>
      </rPr>
      <t>时</t>
    </r>
    <r>
      <rPr>
        <b/>
        <sz val="12"/>
        <color theme="1"/>
        <rFont val="Meiryo UI"/>
        <family val="3"/>
        <charset val="128"/>
      </rPr>
      <t>可能的水平。)</t>
    </r>
    <phoneticPr fontId="1"/>
  </si>
  <si>
    <t>Purpose to use the asset</t>
    <phoneticPr fontId="1"/>
  </si>
  <si>
    <t>Installation Location / Storage Location</t>
  </si>
  <si>
    <t>ALAP Employee Number</t>
    <phoneticPr fontId="1"/>
  </si>
  <si>
    <t>AD Account</t>
    <phoneticPr fontId="1"/>
  </si>
  <si>
    <t>Name (Mail)</t>
    <phoneticPr fontId="1"/>
  </si>
  <si>
    <t>Name (Mail)</t>
    <phoneticPr fontId="1"/>
  </si>
  <si>
    <t>Risk (Info_Prot*Area)</t>
    <phoneticPr fontId="1"/>
  </si>
  <si>
    <t>CIRQUE</t>
  </si>
  <si>
    <t>CIRQUE</t>
    <phoneticPr fontId="1"/>
  </si>
  <si>
    <t>All</t>
    <phoneticPr fontId="1"/>
  </si>
  <si>
    <t>(other information assets)Employee Personal Information</t>
  </si>
  <si>
    <t>(other information assets)Candidate Personal Information</t>
  </si>
  <si>
    <t>Dell Customer Information-Product requirements, information assets related to sales and purchasing activities</t>
  </si>
  <si>
    <t>Dell Engineering Information-Test and quality specifications (technology)</t>
  </si>
  <si>
    <t>Lenovo Customer Information-Product requirements, information assets related to sales and purchasing activities, information assets related to sales and purchasing activities</t>
  </si>
  <si>
    <t>Lenovo Engineering Information-Test and quality specifications (technology)</t>
  </si>
  <si>
    <t>HP Customer Information-Product requirements, information assets related to sales and purchasing activities, information assets related to sales and purchasing activities</t>
  </si>
  <si>
    <t>HP Engineering Information-Test and Quality Specifications (technology)</t>
  </si>
  <si>
    <t>Quanta/Valve-Product requirements, information assets related to sales and purchasing activities</t>
  </si>
  <si>
    <t>Daai Jit Luen Group Co Ltd, HK-Lenovo and other China customer forecasts</t>
  </si>
  <si>
    <t>KUNSHAN JYT TECH CO.,LTD.-Customer forecasts</t>
  </si>
  <si>
    <t>Fresenius Medical Care N. Amer-Product requirements, information assets related to sales and purchasing activitiess</t>
  </si>
  <si>
    <t>ZhuhaiCherry Electronics CoLtd-Product requirements, information assets related to sales and purchasing activitiess</t>
  </si>
  <si>
    <t>Cherry GmbH-Product requirements, information assets related to sales and purchasing activitiess</t>
  </si>
  <si>
    <t>Heng Yu Electronic Manufact.-Product requirements, information assets related to sales and purchasing activitiess</t>
  </si>
  <si>
    <t>Advanced Input Sys - Esterline-Product requirements, information assets related to sales and purchasing activitiess</t>
  </si>
  <si>
    <t>Innaworks Development Ltd-Product requirements, information assets related to sales and purchasing activitiess</t>
  </si>
  <si>
    <t>OSI Optoelectronics SDN Bhd-Product requirements, information assets related to sales and purchasing activitiess</t>
  </si>
  <si>
    <t>Ergonomic Touchpad.com-Product requirements, information assets related to sales and purchasing activitiess</t>
  </si>
  <si>
    <t>Rep Korea Limited-Product requirements, information assets related to sales and purchasing activitiess</t>
  </si>
  <si>
    <t>Showa Denki Co., Ltd.　Tokyo Office-Product requirements, information assets related to sales and purchasing activitiess</t>
  </si>
  <si>
    <t>SIIX-U.S.A. Corporation-Product requirements, information assets related to sales and purchasing activitiess</t>
  </si>
  <si>
    <t>Maxi-Electronic e.K.-Product requirements, information assets related to sales and purchasing activitiess</t>
  </si>
  <si>
    <t>IKEY LTD-Product requirements, information assets related to sales and purchasing activitiess</t>
  </si>
  <si>
    <t>OEM Finland OY-Product requirements, information assets related to sales and purchasing activitiess</t>
  </si>
  <si>
    <t>E.I. Medical Imaging-Product requirements, information assets related to sales and purchasing activitiess</t>
  </si>
  <si>
    <t>Kutronix Technology Inc.-Product requirements, information assets related to sales and purchasing activitiess</t>
  </si>
  <si>
    <t>Creation Tech-Product requirements, information assets related to sales and purchasing activitiess</t>
  </si>
  <si>
    <t>Technomark, Inc.-Product requirements, information assets related to sales and purchasing activitiess</t>
  </si>
  <si>
    <t>Man &amp; Machine, Inc.-Product requirements, information assets related to sales and purchasing activitiess</t>
  </si>
  <si>
    <t>Kinesis-Product requirements, information assets related to sales and purchasing activitiess</t>
  </si>
  <si>
    <t>Mantaback-Product requirements, information assets related to sales and purchasing activitiess</t>
  </si>
  <si>
    <t>HK Goldeleway Electronics Technolog-Product requirements, information assets related to sales and purchasing activitiess</t>
  </si>
  <si>
    <t>Factor X-Product requirements, information assets related to sales and purchasing activitiess</t>
  </si>
  <si>
    <t>Otto-Product requirements, information assets related to sales and purchasing activitiess</t>
  </si>
  <si>
    <t>TLC Electronics Inc-Product requirements, information assets related to sales and purchasing activitiess</t>
  </si>
  <si>
    <t>Operator Interface Technology-Product requirements, information assets related to sales and purchasing activitiess</t>
  </si>
  <si>
    <t>CKS Global Solutions Ltd-Product requirements, information assets related to sales and purchasing activitiess</t>
  </si>
  <si>
    <t>SFO Technologies Pvt.,Ltd.-Product requirements, information assets related to sales and purchasing activitiess</t>
  </si>
  <si>
    <t>The Keyboard Company UK Ltd-Product requirements, information assets related to sales and purchasing activitiess</t>
  </si>
  <si>
    <t>Beijing Taifang Technology Co., Ltd.-Product requirements, information assets related to sales and purchasing activitiess</t>
  </si>
  <si>
    <t>Desert Rotor-Product requirements, information assets related to sales and purchasing activitiess</t>
  </si>
  <si>
    <t>USON-Product requirements, information assets related to sales and purchasing activitiess</t>
  </si>
  <si>
    <t>Hanahe-Product requirements, information assets related to sales and purchasing activitiess</t>
  </si>
  <si>
    <t>Micwil Group of Companies Ltd-Product requirements, information assets related to sales and purchasing activitiess</t>
  </si>
  <si>
    <t>Stanford Research Systems-Product requirements, information assets related to sales and purchasing activitiess</t>
  </si>
  <si>
    <t>EI Microcircuits. Inc.-Product requirements, information assets related to sales and purchasing activitiess</t>
  </si>
  <si>
    <t>SRITECH Electronics &amp; Systems-Product requirements, information assets related to sales and purchasing activitiess</t>
  </si>
  <si>
    <t>Chiptronik HK Ltd-Product requirements, information assets related to sales and purchasing activitiess</t>
  </si>
  <si>
    <t>2S2, Inc-Product requirements, information assets related to sales and purchasing activitiess</t>
  </si>
  <si>
    <t>Helm Link-Product requirements, information assets related to sales and purchasing activitiess</t>
  </si>
  <si>
    <t>AMPCONTROL CSM PTY LTD-Product requirements, information assets related to sales and purchasing activitiess</t>
  </si>
  <si>
    <t>Regenesis Studio-Product requirements, information assets related to sales and purchasing activitiess</t>
  </si>
  <si>
    <t>GRiD Defence Systems Limited-Product requirements, information assets related to sales and purchasing activitiess</t>
  </si>
  <si>
    <t>NOVA-TECH Engineering LLC-Product requirements, information assets related to sales and purchasing activitiess</t>
  </si>
  <si>
    <t>SIE/GOERTEK-Product requirements, information assets related to sales and purchasing activitiess</t>
  </si>
  <si>
    <t>Compal-Product requirements, information assets related to sales and purchasing activitiess</t>
  </si>
  <si>
    <t>XAC Automation(Suzhou)Co, LTD-Product requirements, information assets related to sales and purchasing activitiess</t>
  </si>
  <si>
    <t>Gemni Electro Corporation-Product requirements, information assets related to sales and purchasing activitiess</t>
  </si>
  <si>
    <t>Sonosite Inc-Product requirements, information assets related to sales and purchasing activitiess</t>
  </si>
  <si>
    <t>Valve Corporation-Product requirements, information assets related to sales and purchasing activitiess</t>
  </si>
  <si>
    <t>Hologic Inc.-Product requirements, information assets related to sales and purchasing activitiess</t>
  </si>
  <si>
    <t>Brightech Electronics Co.,Ltd-Product requirements, information assets related to sales and purchasing activitiess</t>
  </si>
  <si>
    <t>DongGuan You Hong plastic &amp; electric co.,Ltd-Product requirements, information assets related to sales and purchasing activitiess</t>
  </si>
  <si>
    <t>HTC-Product requirements, information assets related to sales and purchasing activitiess</t>
  </si>
  <si>
    <t>TG3 Electronics, Inc-Product requirements, information assets related to sales and purchasing activitiess</t>
  </si>
  <si>
    <t>Jabil Luxemburg Manufacturing-Product requirements, information assets related to sales and purchasing activitiess</t>
  </si>
  <si>
    <t>Long Win Limited-Product requirements, information assets related to sales and purchasing activitiess</t>
  </si>
  <si>
    <t>Data Image-Product requirements, information assets related to sales and purchasing activitiess</t>
  </si>
  <si>
    <t>Precitech-Product requirements, information assets related to sales and purchasing activitiess</t>
  </si>
  <si>
    <t>Tipro d.o.o.-Product requirements, information assets related to sales and purchasing activitiess</t>
  </si>
  <si>
    <t>Ikomed Technologies Inc.-Product requirements, information assets related to sales and purchasing activitiess</t>
  </si>
  <si>
    <t>Best Nomos-Product requirements, information assets related to sales and purchasing activitiess</t>
  </si>
  <si>
    <t>Meyer Tools Inc-Product requirements, information assets related to sales and purchasing activitiess</t>
  </si>
  <si>
    <t>GreenPro ApS-Product requirements, information assets related to sales and purchasing activitiess</t>
  </si>
  <si>
    <t>Perfinct Healthcare Pvt, Ltd.-Product requirements, information assets related to sales and purchasing activitiess</t>
  </si>
  <si>
    <t>Vita Detection-Product requirements, information assets related to sales and purchasing activitiess</t>
  </si>
  <si>
    <t>Brovedani Group-Product requirements, information assets related to sales and purchasing activitiess</t>
  </si>
  <si>
    <t>Filtec, Ltd.-Product requirements, information assets related to sales and purchasing activitiess</t>
  </si>
  <si>
    <t>CMR Surgical Ltd-Product requirements, information assets related to sales and purchasing activitiess</t>
  </si>
  <si>
    <t>SCANTRON TECHNOLOGY SOLUTIONS-Product requirements, information assets related to sales and purchasing activitiess</t>
  </si>
  <si>
    <t>AuraSense Tech Corporation-Product requirements, information assets related to sales and purchasing activitiess</t>
  </si>
  <si>
    <t>Thermwood Corporation-Product requirements, information assets related to sales and purchasing activitiess</t>
  </si>
  <si>
    <t>(technology)Firmware and Software files.  Internal design files (source code) for firmware and software projects</t>
  </si>
  <si>
    <t>(technology)Quality Manuals.  Quality documents for design, manufacture, and test of Cirque products.</t>
  </si>
  <si>
    <t>(technology)Hardware Manauls. Hardware documents for design and design review of Cirque products.</t>
  </si>
  <si>
    <t>(technology)Firmware manuals.  Documentation on how to write and adjust Cirque Firmware.</t>
  </si>
  <si>
    <t>(other information assets)Shipping and Receiving Manuals.  Details on how to ship and receive Cirque product.</t>
  </si>
  <si>
    <t>(other information assets)Production work orders.  Work orders for assembly and test of specific Cirque products.</t>
  </si>
  <si>
    <t xml:space="preserve">(technology)ASIC design files.  Design files for all details of the Cirque ICs. </t>
  </si>
  <si>
    <t>Normal</t>
  </si>
  <si>
    <t>High</t>
  </si>
  <si>
    <t>DAIHATSU</t>
  </si>
  <si>
    <t>B</t>
  </si>
  <si>
    <t>S</t>
  </si>
  <si>
    <t>Brenda Milian</t>
  </si>
  <si>
    <t>Steve Baker</t>
  </si>
  <si>
    <t>Bob Searle</t>
  </si>
  <si>
    <t>Mike Litster</t>
  </si>
  <si>
    <t>Aaron Smith</t>
  </si>
  <si>
    <t>Courtney Parsons</t>
  </si>
  <si>
    <t>Paul Vincent</t>
  </si>
  <si>
    <t>Cirque</t>
  </si>
  <si>
    <t>Sales</t>
  </si>
  <si>
    <t>Engineering</t>
  </si>
  <si>
    <t>Quality</t>
  </si>
  <si>
    <t>Payroll and benefits administration</t>
  </si>
  <si>
    <t>Recruiting new applicants</t>
  </si>
  <si>
    <t>Product development</t>
  </si>
  <si>
    <t>Electronic</t>
  </si>
  <si>
    <t>Paylocity</t>
  </si>
  <si>
    <t>Office365 OneDrive</t>
  </si>
  <si>
    <t>Information Systems--Internal GEARS server</t>
  </si>
  <si>
    <t>Information Systems--PICKER (Omnify/Arena PLM)</t>
  </si>
  <si>
    <t>Information Systems--Internal Trailbreaker server</t>
  </si>
  <si>
    <t>D</t>
  </si>
  <si>
    <t>C</t>
  </si>
  <si>
    <t>Personal information (within ALAP Group)</t>
  </si>
  <si>
    <t>Personal Information (other than that)</t>
  </si>
  <si>
    <t>Customer Information - Dell</t>
  </si>
  <si>
    <t>Engineering Information - Dell</t>
  </si>
  <si>
    <t>Customer Information - Lenovo</t>
  </si>
  <si>
    <t>Engineering Information - Lenovo</t>
  </si>
  <si>
    <t>None</t>
  </si>
  <si>
    <t>2088929EE</t>
  </si>
  <si>
    <t>2A88R291R</t>
  </si>
  <si>
    <t>20-0000362</t>
  </si>
  <si>
    <t>20-0000279</t>
  </si>
  <si>
    <t>20-0000360</t>
  </si>
  <si>
    <t>20-0000363</t>
  </si>
  <si>
    <t>20-0000353</t>
  </si>
  <si>
    <t>20-0000354</t>
  </si>
  <si>
    <t>20-0000147</t>
  </si>
  <si>
    <t>20-0000355</t>
  </si>
  <si>
    <t>20-0000365</t>
  </si>
  <si>
    <t>20-0000366</t>
  </si>
  <si>
    <t>20-0000327</t>
  </si>
  <si>
    <t>20-0000347</t>
  </si>
  <si>
    <t>20-0000131</t>
  </si>
  <si>
    <t>20-0000135</t>
  </si>
  <si>
    <t>20-0000137</t>
  </si>
  <si>
    <t>20-0000121</t>
  </si>
  <si>
    <t>20-0000377</t>
  </si>
  <si>
    <t>20-0000346</t>
  </si>
  <si>
    <t>40-0000453</t>
  </si>
  <si>
    <t>20-0000383</t>
  </si>
  <si>
    <t>20-0000136</t>
  </si>
  <si>
    <t>20-0000427</t>
  </si>
  <si>
    <t>20-0000351</t>
  </si>
  <si>
    <t>20-0000344</t>
  </si>
  <si>
    <t>20-0000330</t>
  </si>
  <si>
    <t>20-0000364</t>
  </si>
  <si>
    <t>20-0000376</t>
  </si>
  <si>
    <t>20-0000331</t>
  </si>
  <si>
    <t>20-0000380</t>
  </si>
  <si>
    <t>20-0000424</t>
  </si>
  <si>
    <t>20-0000396</t>
  </si>
  <si>
    <t>20-0000134</t>
  </si>
  <si>
    <t>20-0000349</t>
  </si>
  <si>
    <t>20-0000421</t>
  </si>
  <si>
    <t>20-0000124</t>
  </si>
  <si>
    <t>20-0000378</t>
  </si>
  <si>
    <t>20-0000294</t>
  </si>
  <si>
    <t>20-0000375</t>
  </si>
  <si>
    <t>20-0000382</t>
  </si>
  <si>
    <t>20-0000123</t>
  </si>
  <si>
    <t>20-0000130</t>
  </si>
  <si>
    <t>20-0000295</t>
  </si>
  <si>
    <t>20-0000374</t>
  </si>
  <si>
    <t>20-0000133</t>
  </si>
  <si>
    <t>20-0000128</t>
  </si>
  <si>
    <t>20-0000422</t>
  </si>
  <si>
    <t>20-0000337</t>
  </si>
  <si>
    <t>20-0000280</t>
  </si>
  <si>
    <t>20-0000357</t>
  </si>
  <si>
    <t>20-0000455</t>
  </si>
  <si>
    <t>20-0000449</t>
  </si>
  <si>
    <t>20-0000428</t>
  </si>
  <si>
    <t>20-0000127</t>
  </si>
  <si>
    <t>20-0000329</t>
  </si>
  <si>
    <t>20-0000126</t>
  </si>
  <si>
    <t>20-0000125</t>
  </si>
  <si>
    <t>20-0000381</t>
  </si>
  <si>
    <t>20-0000425</t>
  </si>
  <si>
    <t>20-0000372</t>
  </si>
  <si>
    <t>20-0000348</t>
  </si>
  <si>
    <t>20-0000333</t>
  </si>
  <si>
    <t>20-0000395</t>
  </si>
  <si>
    <t>20-0000352</t>
  </si>
  <si>
    <t>20-0000332</t>
  </si>
  <si>
    <t>20-0000423</t>
  </si>
  <si>
    <t>20-0000429</t>
  </si>
  <si>
    <t>20-0000350</t>
  </si>
  <si>
    <t>20-0000379</t>
  </si>
  <si>
    <t>20-0000335</t>
  </si>
  <si>
    <t>20-0000430</t>
  </si>
  <si>
    <t>20-0000426</t>
  </si>
  <si>
    <t>CAPEX1</t>
  </si>
  <si>
    <t>CAPEX2</t>
  </si>
  <si>
    <t>CAPEX3</t>
  </si>
  <si>
    <t>CAPEX4</t>
  </si>
  <si>
    <t>CAPEX5</t>
  </si>
  <si>
    <t>CAPEX6</t>
  </si>
  <si>
    <t>GEARS</t>
  </si>
  <si>
    <t>NANHU</t>
  </si>
  <si>
    <t>DEATHSTAR</t>
  </si>
  <si>
    <t>PARKCITYPC</t>
  </si>
  <si>
    <t>PICKER</t>
  </si>
  <si>
    <t>PROD-TESTING</t>
  </si>
  <si>
    <t>PTP-TAIWAN</t>
  </si>
  <si>
    <t>SHIPPINGSYSTEM</t>
  </si>
  <si>
    <t>SNOWBIRDPC</t>
  </si>
  <si>
    <t>TRAILBREAKER</t>
  </si>
  <si>
    <t>YUSHAN</t>
  </si>
  <si>
    <t>AARON-XPS</t>
  </si>
  <si>
    <t>ADAMH-MSI</t>
  </si>
  <si>
    <t>ALANLIU-MSI</t>
  </si>
  <si>
    <t>ALAN-S-MSI</t>
  </si>
  <si>
    <t>ANDY-LATITUDE</t>
  </si>
  <si>
    <t>ANDY-DELL5450</t>
  </si>
  <si>
    <t>BRIAN-MSI</t>
  </si>
  <si>
    <t>BOB-LATITUDE</t>
  </si>
  <si>
    <t>IT-SLIM7I-PRO</t>
  </si>
  <si>
    <t>BRENDA-LENOVO</t>
  </si>
  <si>
    <t>CALISTA-XPS</t>
  </si>
  <si>
    <t>CHRISTIAN-MSI</t>
  </si>
  <si>
    <t>CHU-MSI</t>
  </si>
  <si>
    <t>CHRIS-DESKTOP</t>
  </si>
  <si>
    <t>CHRIS-LENOVO</t>
  </si>
  <si>
    <t>ITWORKBENCH</t>
  </si>
  <si>
    <t>COLBY-MSI</t>
  </si>
  <si>
    <t>CORWIN-DELL</t>
  </si>
  <si>
    <t>COURTNEY-MSI</t>
  </si>
  <si>
    <t>CLINTON-MSI</t>
  </si>
  <si>
    <t>DAN-MSI</t>
  </si>
  <si>
    <t>DAVID_ORR_MSI</t>
  </si>
  <si>
    <t>DONSEN-XPS</t>
  </si>
  <si>
    <t>DOUG-MSI</t>
  </si>
  <si>
    <t>DT-MSI-LAPTOP</t>
  </si>
  <si>
    <t>EMMAC-MSI</t>
  </si>
  <si>
    <t>ERICP-LATITUDE</t>
  </si>
  <si>
    <t>Ethans-MacBook-Pro</t>
  </si>
  <si>
    <t>FRANK-LATITUDE</t>
  </si>
  <si>
    <t>GAO-DELL</t>
  </si>
  <si>
    <t>GREG-MSI</t>
  </si>
  <si>
    <t>JO-LENOVO</t>
  </si>
  <si>
    <t>JOWANG-LENOVO</t>
  </si>
  <si>
    <t>JON-LI-DELL</t>
  </si>
  <si>
    <t>JONB-MSI</t>
  </si>
  <si>
    <t>RUBY-DELL</t>
  </si>
  <si>
    <t>KEN-DELL</t>
  </si>
  <si>
    <t>LEO-JIAN-DELL2</t>
  </si>
  <si>
    <t>LEO-PRECISION</t>
  </si>
  <si>
    <t>LUKE-MSI</t>
  </si>
  <si>
    <t>LUNZUO-MSI</t>
  </si>
  <si>
    <t>SERGE-MSI</t>
  </si>
  <si>
    <t>MIKE-LAYTON</t>
  </si>
  <si>
    <t>MIKE-CHANG-MSI</t>
  </si>
  <si>
    <t>MIKE-MSI</t>
  </si>
  <si>
    <t>MIKETRAN-MSI</t>
  </si>
  <si>
    <t>NEMOWANG-MSI</t>
  </si>
  <si>
    <t>IT-DELLXPS13-1</t>
  </si>
  <si>
    <t>NOAH-ASUS</t>
  </si>
  <si>
    <t>PAULV-MSI</t>
  </si>
  <si>
    <t>PEDRO-XPS</t>
  </si>
  <si>
    <t>Ray-MSI</t>
  </si>
  <si>
    <t>RYANC-PRECISION</t>
  </si>
  <si>
    <t>SALUTE-ASUS</t>
  </si>
  <si>
    <t>SAM-LENOVO</t>
  </si>
  <si>
    <t>SAM-MSI</t>
  </si>
  <si>
    <t>SARA-LENOVO</t>
  </si>
  <si>
    <t>STEVEA-MSI</t>
  </si>
  <si>
    <t>STEVEB-LENOVO</t>
  </si>
  <si>
    <t>SCOTTCROWLEY</t>
  </si>
  <si>
    <t>SHAMPTON-THINK</t>
  </si>
  <si>
    <t>SHANE-MSI</t>
  </si>
  <si>
    <t>SHAYNE-LENOVO</t>
  </si>
  <si>
    <t>HOBBS-LENOVO</t>
  </si>
  <si>
    <t>SIGRID-MSI</t>
  </si>
  <si>
    <t>STELLA-LATITUDE</t>
  </si>
  <si>
    <t>STEVENOALL</t>
  </si>
  <si>
    <t>SBALL-MSI</t>
  </si>
  <si>
    <t>STEVENVARRATO</t>
  </si>
  <si>
    <t>TIMR-MSI</t>
  </si>
  <si>
    <t>TODD-MSI</t>
  </si>
  <si>
    <t>TYSONWEST-MSI</t>
  </si>
  <si>
    <t>VADIM-LAPTOP</t>
  </si>
  <si>
    <t>WAYLAND-MSI</t>
  </si>
  <si>
    <t>Office365</t>
  </si>
  <si>
    <t>Asana</t>
  </si>
  <si>
    <t>Teamviewer</t>
  </si>
  <si>
    <t>HIGH</t>
  </si>
  <si>
    <t>A</t>
  </si>
  <si>
    <t>Chris Wren</t>
  </si>
  <si>
    <t>aaron.smith</t>
  </si>
  <si>
    <t>adam.hales</t>
  </si>
  <si>
    <t>Alan Liu</t>
  </si>
  <si>
    <t>alans</t>
  </si>
  <si>
    <t>andy.hung</t>
  </si>
  <si>
    <t>andy.wang</t>
  </si>
  <si>
    <t>bdm</t>
  </si>
  <si>
    <t>bob.searle</t>
  </si>
  <si>
    <t>brenda.milian</t>
  </si>
  <si>
    <t>calista.chiang</t>
  </si>
  <si>
    <t>christian.leishman</t>
  </si>
  <si>
    <t>chuc</t>
  </si>
  <si>
    <t>cjwren</t>
  </si>
  <si>
    <t>Colby.Greenwood</t>
  </si>
  <si>
    <t>corwin.hudson</t>
  </si>
  <si>
    <t>courtney.parsons</t>
  </si>
  <si>
    <t>cpoduska</t>
  </si>
  <si>
    <t>dan.ferguson</t>
  </si>
  <si>
    <t>david.orr</t>
  </si>
  <si>
    <t>donsen.su</t>
  </si>
  <si>
    <t>dsteck</t>
  </si>
  <si>
    <t>dt</t>
  </si>
  <si>
    <t>emma.chen</t>
  </si>
  <si>
    <t>Eric.Peterson</t>
  </si>
  <si>
    <t>ethans</t>
  </si>
  <si>
    <t>frank.chen</t>
  </si>
  <si>
    <t>gao.yang</t>
  </si>
  <si>
    <t>greg.clements</t>
  </si>
  <si>
    <t>jo.wang</t>
  </si>
  <si>
    <t>jon.li</t>
  </si>
  <si>
    <t>jonb</t>
  </si>
  <si>
    <t>kelvin.lee</t>
  </si>
  <si>
    <t>ktolman</t>
  </si>
  <si>
    <t>Leo.jiang</t>
  </si>
  <si>
    <t>leo.jiang</t>
  </si>
  <si>
    <t>luke.davidson</t>
  </si>
  <si>
    <t>LunZuo</t>
  </si>
  <si>
    <t>McGregor.Card</t>
  </si>
  <si>
    <t>mdl</t>
  </si>
  <si>
    <t>michael.chang</t>
  </si>
  <si>
    <t>mike.litster</t>
  </si>
  <si>
    <t>mike.tran</t>
  </si>
  <si>
    <t>Nemo.Wang</t>
  </si>
  <si>
    <t>Noah Bailey</t>
  </si>
  <si>
    <t>paulv</t>
  </si>
  <si>
    <t>pedro.chiu</t>
  </si>
  <si>
    <t>Ray Cheng</t>
  </si>
  <si>
    <t>ryan.chou</t>
  </si>
  <si>
    <t>salute.lee</t>
  </si>
  <si>
    <t>sam.palomino</t>
  </si>
  <si>
    <t>sara.hymas</t>
  </si>
  <si>
    <t>saustin</t>
  </si>
  <si>
    <t>sbaker</t>
  </si>
  <si>
    <t>Scott.Crowley</t>
  </si>
  <si>
    <t>scott.hampton</t>
  </si>
  <si>
    <t>Shane.Rose</t>
  </si>
  <si>
    <t>shayne.zhai</t>
  </si>
  <si>
    <t>shuang.chen</t>
  </si>
  <si>
    <t>Sigrid.Milian</t>
  </si>
  <si>
    <t>Stella.Pai</t>
  </si>
  <si>
    <t>Steve Noall</t>
  </si>
  <si>
    <t>steve.ball</t>
  </si>
  <si>
    <t>Steven.Varrato</t>
  </si>
  <si>
    <t>tim.redford</t>
  </si>
  <si>
    <t>Todd.Rich</t>
  </si>
  <si>
    <t>tyson.west</t>
  </si>
  <si>
    <t>vadim</t>
  </si>
  <si>
    <t>wduncan</t>
  </si>
  <si>
    <t>cirque</t>
  </si>
  <si>
    <t>SIMS Test Machine</t>
  </si>
  <si>
    <t>GITLAB RUNNER</t>
  </si>
  <si>
    <t xml:space="preserve">TEAMS </t>
  </si>
  <si>
    <t>DC</t>
  </si>
  <si>
    <t>DESIGN PICKER</t>
  </si>
  <si>
    <t>PROGRAMMING</t>
  </si>
  <si>
    <t>QA TESTING</t>
  </si>
  <si>
    <t xml:space="preserve">SHIPPING </t>
  </si>
  <si>
    <t>REPURPOSING</t>
  </si>
  <si>
    <t>Laptop /Workstation</t>
  </si>
  <si>
    <t>Use as a communication tool such as e-mail, calendar, address book, and meeting invitation</t>
  </si>
  <si>
    <t>Project Tracking / Milestones</t>
  </si>
  <si>
    <t>RMM</t>
  </si>
  <si>
    <t>HR tool</t>
  </si>
  <si>
    <t>No</t>
  </si>
  <si>
    <t>YES</t>
  </si>
  <si>
    <t>Server_Storage server</t>
  </si>
  <si>
    <t>Physical</t>
  </si>
  <si>
    <t>Cloud Service</t>
  </si>
  <si>
    <t>Cloud Service - Tasks</t>
  </si>
  <si>
    <t>Cirque SLC server room</t>
  </si>
  <si>
    <t>Cirque SLC Warehouse</t>
  </si>
  <si>
    <t>Cirque TW Lab</t>
  </si>
  <si>
    <t>Cirque SLC Snowbird conference room</t>
  </si>
  <si>
    <t>Cirque TW Yushan conference room</t>
  </si>
  <si>
    <t>Cirque SLC office</t>
  </si>
  <si>
    <t>Adam Hale's Desk</t>
  </si>
  <si>
    <t>Alan Liu's Desk</t>
  </si>
  <si>
    <t>Andy Hung's Desk</t>
  </si>
  <si>
    <t>Andy Wang's Desk</t>
  </si>
  <si>
    <t>Cirque TW office</t>
  </si>
  <si>
    <t>Cirque China Employee Residence</t>
  </si>
  <si>
    <t>SLA</t>
  </si>
  <si>
    <t>Monthly</t>
  </si>
  <si>
    <t>MOnthly</t>
  </si>
  <si>
    <t>Yearly</t>
  </si>
  <si>
    <t>2FA</t>
  </si>
  <si>
    <t>Password</t>
  </si>
  <si>
    <t>Cirque Corporation</t>
  </si>
  <si>
    <t>Cadence Tools</t>
  </si>
  <si>
    <t>Cap Ext</t>
  </si>
  <si>
    <t>ARENA Solutions</t>
  </si>
  <si>
    <t>Gitlab</t>
  </si>
  <si>
    <t>Altium</t>
  </si>
  <si>
    <t>Cliosoft SOS</t>
  </si>
  <si>
    <t>ASIC Design</t>
  </si>
  <si>
    <t>Capacitance Simulator for PCB and Touch</t>
  </si>
  <si>
    <t>PLM System</t>
  </si>
  <si>
    <t>Source code</t>
  </si>
  <si>
    <t>PCB Design</t>
  </si>
  <si>
    <t>used for Analog design version control / repository</t>
  </si>
  <si>
    <t>Server Room</t>
  </si>
  <si>
    <t>Cloud Based</t>
  </si>
  <si>
    <t>pass</t>
  </si>
  <si>
    <t>daily</t>
  </si>
  <si>
    <t>none</t>
  </si>
  <si>
    <t>Yes</t>
  </si>
  <si>
    <t>NOT ELIGIBLE</t>
  </si>
  <si>
    <t>Signed</t>
  </si>
  <si>
    <t>Adam Hales</t>
  </si>
  <si>
    <t>Alan Stettler</t>
  </si>
  <si>
    <t>Andy Hung</t>
  </si>
  <si>
    <t>Andy Wang</t>
  </si>
  <si>
    <t>Brian Monson</t>
  </si>
  <si>
    <t>Brooks Clements</t>
  </si>
  <si>
    <t>Calista Chiang</t>
  </si>
  <si>
    <t>Christian Leishman</t>
  </si>
  <si>
    <t>Chushan Heu</t>
  </si>
  <si>
    <t>Clinton Poduska</t>
  </si>
  <si>
    <t>Colby Greenwood</t>
  </si>
  <si>
    <t>Corwin Hudson</t>
  </si>
  <si>
    <t>Dan Ferguson</t>
  </si>
  <si>
    <t>David Orr</t>
  </si>
  <si>
    <t>David Taylor</t>
  </si>
  <si>
    <t>Donsen Su</t>
  </si>
  <si>
    <t>Douglas A. Steck</t>
  </si>
  <si>
    <t>Emma Chen</t>
  </si>
  <si>
    <t>Eric Peterson</t>
  </si>
  <si>
    <t>Ethan Sturm</t>
  </si>
  <si>
    <t>Frank Chen</t>
  </si>
  <si>
    <t>Gao Yang</t>
  </si>
  <si>
    <t>Greg Clements</t>
  </si>
  <si>
    <t>Jo Wang</t>
  </si>
  <si>
    <t>Jon Bertrand</t>
  </si>
  <si>
    <t>Jon Li</t>
  </si>
  <si>
    <t>Ken Tolman</t>
  </si>
  <si>
    <t>Kenny Baker</t>
  </si>
  <si>
    <t>Kevin Lu</t>
  </si>
  <si>
    <t>Kristin Lillywhite</t>
  </si>
  <si>
    <t>Leo Jiang</t>
  </si>
  <si>
    <t>Luke Davidson</t>
  </si>
  <si>
    <t>Michael Chang</t>
  </si>
  <si>
    <t>Michael Layton</t>
  </si>
  <si>
    <t>Mike Tran</t>
  </si>
  <si>
    <t>Misty Barnes</t>
  </si>
  <si>
    <t>Nemo Wang</t>
  </si>
  <si>
    <t>Pedro Chiu</t>
  </si>
  <si>
    <t>Richard Zimmerman</t>
  </si>
  <si>
    <t>Ruby Sung</t>
  </si>
  <si>
    <t>Ryan Chou</t>
  </si>
  <si>
    <t>Salute Lee</t>
  </si>
  <si>
    <t>Sam Palomino</t>
  </si>
  <si>
    <t>Sara Hymas</t>
  </si>
  <si>
    <t>Scott Crowley</t>
  </si>
  <si>
    <t>Scott Hampton</t>
  </si>
  <si>
    <t>Serge Twagirayezu</t>
  </si>
  <si>
    <t>Shane Rose</t>
  </si>
  <si>
    <t>Shayne Zhai</t>
  </si>
  <si>
    <t>Shuang Chen</t>
  </si>
  <si>
    <t>Sigrid Milian</t>
  </si>
  <si>
    <t>Stella Pai</t>
  </si>
  <si>
    <t>Steve Austin</t>
  </si>
  <si>
    <t>Steve Ball</t>
  </si>
  <si>
    <t>Steven Varrato</t>
  </si>
  <si>
    <t>Tim Redford</t>
  </si>
  <si>
    <t>Todd Rich</t>
  </si>
  <si>
    <t>Tyson West</t>
  </si>
  <si>
    <t>Vadim Klishko</t>
  </si>
  <si>
    <t>Wayland Duncan</t>
  </si>
  <si>
    <t>Yin Hsiao</t>
  </si>
  <si>
    <t>BBBB.AAAA@ALPSALPINE.COM</t>
  </si>
  <si>
    <t>full-time employee</t>
  </si>
  <si>
    <t>ALAP1XXXXXXX</t>
  </si>
  <si>
    <t>Pass</t>
  </si>
  <si>
    <t>20-0000361</t>
  </si>
  <si>
    <t>20-0000129</t>
  </si>
  <si>
    <t>20-0000500</t>
  </si>
  <si>
    <t>20-0000501</t>
  </si>
  <si>
    <t>20-0000502</t>
  </si>
  <si>
    <t>20-0000504</t>
  </si>
  <si>
    <t>20-0000505</t>
  </si>
  <si>
    <t>20-0000506</t>
  </si>
  <si>
    <t>20-0000507</t>
  </si>
  <si>
    <t>20-0000508</t>
  </si>
  <si>
    <t>20-0000509</t>
  </si>
  <si>
    <t>20-0000510</t>
  </si>
  <si>
    <t>20-0000512</t>
  </si>
  <si>
    <t>20-0000513</t>
  </si>
  <si>
    <t>20-0000514</t>
  </si>
  <si>
    <t>20-0000515</t>
  </si>
  <si>
    <t>20-0000516</t>
  </si>
  <si>
    <t>20-0000257</t>
  </si>
  <si>
    <t>4N2N35JE</t>
  </si>
  <si>
    <t>20-0000259</t>
  </si>
  <si>
    <t>20-0000254</t>
  </si>
  <si>
    <t>20-0000292</t>
  </si>
  <si>
    <t>20-0000287</t>
  </si>
  <si>
    <t>411435WT</t>
  </si>
  <si>
    <t>4J2435Y3</t>
  </si>
  <si>
    <t>6TKST21</t>
  </si>
  <si>
    <t>20-0000290</t>
  </si>
  <si>
    <t>20-0000518</t>
  </si>
  <si>
    <t>491G35ZC</t>
  </si>
  <si>
    <t>20-0000288</t>
  </si>
  <si>
    <t>20-0000253</t>
  </si>
  <si>
    <t>4M2H35SA</t>
  </si>
  <si>
    <t>20-0000291</t>
  </si>
  <si>
    <t>20-0000285</t>
  </si>
  <si>
    <t>20-0000289</t>
  </si>
  <si>
    <t>20-0000260</t>
  </si>
  <si>
    <t>20-0000262</t>
  </si>
  <si>
    <t>20-0000286</t>
  </si>
  <si>
    <t>20-0000255</t>
  </si>
  <si>
    <t>20-0000261</t>
  </si>
  <si>
    <t>NA</t>
  </si>
  <si>
    <t>＜情報資産管理台帳系＞&lt;Information Asset Management&gt;&lt;
信息资产管理&gt;</t>
    <phoneticPr fontId="1"/>
  </si>
  <si>
    <t>最終更新日：2024/05/21</t>
    <phoneticPr fontId="1"/>
  </si>
  <si>
    <t>[IS-APM02-F02] 資産管理表（情報） / Asset  Management (Information)</t>
    <rPh sb="15" eb="17">
      <t>シサン</t>
    </rPh>
    <rPh sb="17" eb="19">
      <t>カンリ</t>
    </rPh>
    <rPh sb="19" eb="20">
      <t>ヒョウ</t>
    </rPh>
    <rPh sb="21" eb="23">
      <t>ジョウホウ</t>
    </rPh>
    <phoneticPr fontId="1"/>
  </si>
  <si>
    <r>
      <t xml:space="preserve">資産名
Asset Name
</t>
    </r>
    <r>
      <rPr>
        <sz val="10"/>
        <color theme="1"/>
        <rFont val="Microsoft YaHei"/>
        <family val="3"/>
        <charset val="134"/>
      </rPr>
      <t>资产名称</t>
    </r>
    <rPh sb="0" eb="2">
      <t>シサン</t>
    </rPh>
    <rPh sb="2" eb="3">
      <t>メイ</t>
    </rPh>
    <phoneticPr fontId="1"/>
  </si>
  <si>
    <r>
      <t xml:space="preserve">保護の必要性(規格/顧客要求)
Required Protect Class (Regulation/Customer Req.)
</t>
    </r>
    <r>
      <rPr>
        <sz val="10"/>
        <color theme="1"/>
        <rFont val="Microsoft YaHei"/>
        <family val="3"/>
        <charset val="134"/>
      </rPr>
      <t>保护的必要性(标准/客户要求)</t>
    </r>
    <rPh sb="0" eb="2">
      <t>ホゴ</t>
    </rPh>
    <rPh sb="3" eb="6">
      <t>ヒツヨウセイ</t>
    </rPh>
    <rPh sb="7" eb="9">
      <t>キカク</t>
    </rPh>
    <rPh sb="10" eb="12">
      <t>コキャク</t>
    </rPh>
    <rPh sb="12" eb="14">
      <t>ヨウ</t>
    </rPh>
    <phoneticPr fontId="1"/>
  </si>
  <si>
    <t>情報種類
Information
 Category
信息类型</t>
    <rPh sb="0" eb="2">
      <t>ジョウホウ</t>
    </rPh>
    <rPh sb="2" eb="4">
      <t>シュルイ</t>
    </rPh>
    <phoneticPr fontId="1"/>
  </si>
  <si>
    <t>情報種類
Information
 Category
信息类型</t>
    <phoneticPr fontId="1"/>
  </si>
  <si>
    <t xml:space="preserve">管理責任者
Manager 
of the asset
经理人 </t>
    <phoneticPr fontId="1"/>
  </si>
  <si>
    <r>
      <t xml:space="preserve">オーナー部門
Responsible Department(Owning Department)
</t>
    </r>
    <r>
      <rPr>
        <sz val="10"/>
        <color theme="1"/>
        <rFont val="Microsoft YaHei"/>
        <family val="3"/>
        <charset val="134"/>
      </rPr>
      <t>责任部门</t>
    </r>
    <r>
      <rPr>
        <sz val="10"/>
        <color theme="1"/>
        <rFont val="Meiryo UI"/>
        <family val="3"/>
        <charset val="128"/>
      </rPr>
      <t>(</t>
    </r>
    <r>
      <rPr>
        <sz val="10"/>
        <color theme="1"/>
        <rFont val="Microsoft YaHei"/>
        <family val="3"/>
        <charset val="134"/>
      </rPr>
      <t>所属部门</t>
    </r>
    <r>
      <rPr>
        <sz val="10"/>
        <color theme="1"/>
        <rFont val="Meiryo UI"/>
        <family val="3"/>
        <charset val="128"/>
      </rPr>
      <t>)</t>
    </r>
    <rPh sb="4" eb="6">
      <t>ブモン</t>
    </rPh>
    <phoneticPr fontId="1"/>
  </si>
  <si>
    <r>
      <t xml:space="preserve">資産利用の主要業務領域
Primary Business Area of Asset Usage
</t>
    </r>
    <r>
      <rPr>
        <sz val="10"/>
        <color theme="1"/>
        <rFont val="Microsoft YaHei"/>
        <family val="3"/>
        <charset val="134"/>
      </rPr>
      <t>该资产使用的主要业务领域</t>
    </r>
    <rPh sb="0" eb="2">
      <t>シサン</t>
    </rPh>
    <rPh sb="2" eb="4">
      <t>リヨウ</t>
    </rPh>
    <rPh sb="5" eb="7">
      <t>シュヨウ</t>
    </rPh>
    <rPh sb="7" eb="9">
      <t>ギョウム</t>
    </rPh>
    <rPh sb="9" eb="11">
      <t>リョウイキ</t>
    </rPh>
    <phoneticPr fontId="1"/>
  </si>
  <si>
    <r>
      <t xml:space="preserve">資産の利用目的
Purpose 
to use the asset
</t>
    </r>
    <r>
      <rPr>
        <sz val="10"/>
        <color theme="1"/>
        <rFont val="Microsoft YaHei"/>
        <family val="3"/>
        <charset val="134"/>
      </rPr>
      <t>使用该资产的目的</t>
    </r>
    <rPh sb="0" eb="2">
      <t>シサン</t>
    </rPh>
    <rPh sb="3" eb="5">
      <t>リヨウ</t>
    </rPh>
    <rPh sb="5" eb="7">
      <t>モクテキ</t>
    </rPh>
    <phoneticPr fontId="1"/>
  </si>
  <si>
    <t>形式・カテゴリ
Media form
媒体形式</t>
    <phoneticPr fontId="1"/>
  </si>
  <si>
    <t>媒体形式・カテゴリ
Media form
媒体形式</t>
    <rPh sb="0" eb="2">
      <t>バイタイ</t>
    </rPh>
    <rPh sb="2" eb="4">
      <t>ケイシキ</t>
    </rPh>
    <phoneticPr fontId="1"/>
  </si>
  <si>
    <t>保管先補助資産
Support asset stored to
支持资产存储到</t>
    <phoneticPr fontId="1"/>
  </si>
  <si>
    <t>利用範囲
Viewing 
Authority
使用范围</t>
    <phoneticPr fontId="1"/>
  </si>
  <si>
    <r>
      <t xml:space="preserve">その他の顧客要件・法的要件
Other Customer req, Requlation/Laws req.
</t>
    </r>
    <r>
      <rPr>
        <sz val="10"/>
        <color theme="1"/>
        <rFont val="Microsoft YaHei"/>
        <family val="3"/>
        <charset val="134"/>
      </rPr>
      <t>其他客户要求法律要求</t>
    </r>
    <rPh sb="2" eb="3">
      <t>タ</t>
    </rPh>
    <rPh sb="4" eb="6">
      <t>コキャク</t>
    </rPh>
    <rPh sb="6" eb="8">
      <t>ヨウケン</t>
    </rPh>
    <rPh sb="9" eb="11">
      <t>ホウテキ</t>
    </rPh>
    <rPh sb="11" eb="13">
      <t>ヨウケン</t>
    </rPh>
    <phoneticPr fontId="1"/>
  </si>
  <si>
    <t>機密性
Confidentiality
保密</t>
    <phoneticPr fontId="1"/>
  </si>
  <si>
    <r>
      <t xml:space="preserve">完全性
Integrity
</t>
    </r>
    <r>
      <rPr>
        <sz val="10"/>
        <color theme="1"/>
        <rFont val="Microsoft YaHei"/>
        <family val="3"/>
        <charset val="134"/>
      </rPr>
      <t>诚信</t>
    </r>
    <phoneticPr fontId="1"/>
  </si>
  <si>
    <t>可用性
Availability
可用性</t>
    <phoneticPr fontId="1"/>
  </si>
  <si>
    <r>
      <rPr>
        <sz val="8"/>
        <color theme="1"/>
        <rFont val="Meiryo UI"/>
        <family val="3"/>
        <charset val="128"/>
      </rPr>
      <t>【自動計算/Auto Calc.】</t>
    </r>
    <r>
      <rPr>
        <sz val="10"/>
        <color theme="1"/>
        <rFont val="Meiryo UI"/>
        <family val="3"/>
        <charset val="128"/>
      </rPr>
      <t xml:space="preserve">
重要度
Importance</t>
    </r>
    <rPh sb="1" eb="3">
      <t>ジドウ</t>
    </rPh>
    <rPh sb="3" eb="5">
      <t>ケイサン</t>
    </rPh>
    <rPh sb="18" eb="21">
      <t>ジュウヨウド</t>
    </rPh>
    <phoneticPr fontId="1"/>
  </si>
  <si>
    <r>
      <t xml:space="preserve">脅威の
発生頻度
(対策結果)
Threat probality Class
</t>
    </r>
    <r>
      <rPr>
        <sz val="10"/>
        <color theme="1"/>
        <rFont val="Microsoft YaHei"/>
        <family val="3"/>
        <charset val="134"/>
      </rPr>
      <t>威胁频率
(反措施结果)</t>
    </r>
    <rPh sb="0" eb="2">
      <t>キョウイ</t>
    </rPh>
    <rPh sb="4" eb="8">
      <t>ハッセイヒンド</t>
    </rPh>
    <rPh sb="10" eb="12">
      <t>タイサク</t>
    </rPh>
    <rPh sb="12" eb="14">
      <t>ケッカ</t>
    </rPh>
    <phoneticPr fontId="1"/>
  </si>
  <si>
    <t>脆弱性
Vulnerability Class
漏洞类</t>
    <rPh sb="0" eb="3">
      <t>ゼイジャクセイ</t>
    </rPh>
    <phoneticPr fontId="1"/>
  </si>
  <si>
    <r>
      <rPr>
        <sz val="8"/>
        <color theme="1"/>
        <rFont val="Meiryo UI"/>
        <family val="3"/>
        <charset val="128"/>
      </rPr>
      <t>【自動計算/Auto Calc.】</t>
    </r>
    <r>
      <rPr>
        <sz val="10"/>
        <color theme="1"/>
        <rFont val="Meiryo UI"/>
        <family val="3"/>
        <charset val="128"/>
      </rPr>
      <t xml:space="preserve">
被害発生可能性
Damage occurance Probability
</t>
    </r>
    <r>
      <rPr>
        <sz val="10"/>
        <color theme="1"/>
        <rFont val="Microsoft YaHei"/>
        <family val="3"/>
        <charset val="134"/>
      </rPr>
      <t>损害发生概率</t>
    </r>
    <rPh sb="18" eb="20">
      <t>ヒガイ</t>
    </rPh>
    <rPh sb="20" eb="22">
      <t>ハッセイ</t>
    </rPh>
    <rPh sb="22" eb="25">
      <t>カノウセイ</t>
    </rPh>
    <phoneticPr fontId="1"/>
  </si>
  <si>
    <r>
      <rPr>
        <sz val="8"/>
        <color theme="1"/>
        <rFont val="Meiryo UI"/>
        <family val="3"/>
        <charset val="128"/>
      </rPr>
      <t>【自動計算/Auto Calc.】</t>
    </r>
    <r>
      <rPr>
        <sz val="10"/>
        <color theme="1"/>
        <rFont val="Meiryo UI"/>
        <family val="3"/>
        <charset val="128"/>
      </rPr>
      <t xml:space="preserve">
リスク値
Risk
風險</t>
    </r>
    <rPh sb="21" eb="22">
      <t>アタイ</t>
    </rPh>
    <phoneticPr fontId="1"/>
  </si>
  <si>
    <r>
      <t xml:space="preserve">備考欄
Remarks
</t>
    </r>
    <r>
      <rPr>
        <sz val="10"/>
        <color theme="0"/>
        <rFont val="Microsoft YaHei"/>
        <family val="3"/>
        <charset val="134"/>
      </rPr>
      <t>备注</t>
    </r>
    <rPh sb="0" eb="2">
      <t>ビコウ</t>
    </rPh>
    <rPh sb="2" eb="3">
      <t>ラン</t>
    </rPh>
    <phoneticPr fontId="1"/>
  </si>
  <si>
    <t>所属会社
Company
所属公司</t>
    <rPh sb="0" eb="2">
      <t>ショゾク</t>
    </rPh>
    <rPh sb="2" eb="4">
      <t>カイシャ</t>
    </rPh>
    <phoneticPr fontId="1"/>
  </si>
  <si>
    <r>
      <t xml:space="preserve">所属部門
Department
</t>
    </r>
    <r>
      <rPr>
        <sz val="10"/>
        <color theme="0"/>
        <rFont val="Microsoft YaHei"/>
        <family val="3"/>
        <charset val="134"/>
      </rPr>
      <t>所属部门</t>
    </r>
    <rPh sb="0" eb="2">
      <t>ショゾク</t>
    </rPh>
    <rPh sb="2" eb="4">
      <t>ブモン</t>
    </rPh>
    <phoneticPr fontId="1"/>
  </si>
  <si>
    <t>[IS-APM02-F03] 資産管理表（試作品） / Asset Management (Prototype) List</t>
    <rPh sb="15" eb="17">
      <t>シサン</t>
    </rPh>
    <rPh sb="17" eb="19">
      <t>カンリ</t>
    </rPh>
    <rPh sb="19" eb="20">
      <t>ヒョウ</t>
    </rPh>
    <rPh sb="21" eb="24">
      <t>シサクヒン</t>
    </rPh>
    <phoneticPr fontId="1"/>
  </si>
  <si>
    <t>Auto_NO</t>
    <phoneticPr fontId="1"/>
  </si>
  <si>
    <r>
      <t xml:space="preserve">保護の必要性
(規格/顧客要求)
Required 
Protect Class
(Regulation/
Customer Req.)
</t>
    </r>
    <r>
      <rPr>
        <sz val="10"/>
        <color theme="1"/>
        <rFont val="Microsoft YaHei"/>
        <family val="3"/>
        <charset val="134"/>
      </rPr>
      <t>保护的必要性
(标准/客户要求)</t>
    </r>
    <rPh sb="0" eb="2">
      <t>ホゴ</t>
    </rPh>
    <rPh sb="3" eb="6">
      <t>ヒツヨウセイ</t>
    </rPh>
    <rPh sb="8" eb="10">
      <t>キカク</t>
    </rPh>
    <rPh sb="11" eb="13">
      <t>コキャク</t>
    </rPh>
    <rPh sb="13" eb="15">
      <t>ヨウ</t>
    </rPh>
    <phoneticPr fontId="1"/>
  </si>
  <si>
    <r>
      <t xml:space="preserve">保管先補助資産
Support asset stored to
</t>
    </r>
    <r>
      <rPr>
        <sz val="10"/>
        <color theme="1"/>
        <rFont val="Microsoft YaHei"/>
        <family val="3"/>
        <charset val="134"/>
      </rPr>
      <t>支持资产存储到</t>
    </r>
    <rPh sb="0" eb="2">
      <t>ホカン</t>
    </rPh>
    <rPh sb="2" eb="3">
      <t>サキ</t>
    </rPh>
    <rPh sb="3" eb="5">
      <t>ホジョ</t>
    </rPh>
    <rPh sb="5" eb="7">
      <t>シサン</t>
    </rPh>
    <phoneticPr fontId="1"/>
  </si>
  <si>
    <r>
      <t xml:space="preserve">その他の
顧客要件
・法的要件
Other Customer req, 
Requlation/
Laws req.
</t>
    </r>
    <r>
      <rPr>
        <sz val="10"/>
        <color theme="1"/>
        <rFont val="Microsoft YaHei"/>
        <family val="3"/>
        <charset val="134"/>
      </rPr>
      <t>其他
客户要求
法律要求</t>
    </r>
    <rPh sb="2" eb="3">
      <t>タ</t>
    </rPh>
    <rPh sb="5" eb="7">
      <t>コキャク</t>
    </rPh>
    <rPh sb="7" eb="9">
      <t>ヨウケン</t>
    </rPh>
    <rPh sb="11" eb="13">
      <t>ホウテキ</t>
    </rPh>
    <rPh sb="13" eb="15">
      <t>ヨウケン</t>
    </rPh>
    <phoneticPr fontId="1"/>
  </si>
  <si>
    <r>
      <t xml:space="preserve">[IS-APM02-F04] 補助資産・クラウドサービス管理表 / Supporting Assets, Cloud Services Management/ </t>
    </r>
    <r>
      <rPr>
        <sz val="12"/>
        <color theme="1"/>
        <rFont val="Microsoft YaHei"/>
        <family val="3"/>
        <charset val="134"/>
      </rPr>
      <t>辅</t>
    </r>
    <r>
      <rPr>
        <sz val="12"/>
        <color theme="1"/>
        <rFont val="Meiryo UI"/>
        <family val="3"/>
      </rPr>
      <t>助</t>
    </r>
    <r>
      <rPr>
        <sz val="12"/>
        <color theme="1"/>
        <rFont val="Microsoft YaHei"/>
        <family val="3"/>
        <charset val="134"/>
      </rPr>
      <t>资产</t>
    </r>
    <r>
      <rPr>
        <sz val="12"/>
        <color theme="1"/>
        <rFont val="Meiryo UI"/>
        <family val="3"/>
      </rPr>
      <t>、云服</t>
    </r>
    <r>
      <rPr>
        <sz val="12"/>
        <color theme="1"/>
        <rFont val="Microsoft YaHei"/>
        <family val="3"/>
        <charset val="134"/>
      </rPr>
      <t>务</t>
    </r>
    <r>
      <rPr>
        <sz val="12"/>
        <color theme="1"/>
        <rFont val="Meiryo UI"/>
        <family val="3"/>
      </rPr>
      <t>及</t>
    </r>
    <r>
      <rPr>
        <sz val="12"/>
        <color theme="1"/>
        <rFont val="Microsoft YaHei"/>
        <family val="3"/>
        <charset val="134"/>
      </rPr>
      <t>软</t>
    </r>
    <r>
      <rPr>
        <sz val="12"/>
        <color theme="1"/>
        <rFont val="Meiryo UI"/>
        <family val="3"/>
      </rPr>
      <t>件管理表</t>
    </r>
    <rPh sb="28" eb="31">
      <t>カンリヒョウ</t>
    </rPh>
    <phoneticPr fontId="1"/>
  </si>
  <si>
    <t>版（Version)：C</t>
    <rPh sb="0" eb="1">
      <t>ハン</t>
    </rPh>
    <phoneticPr fontId="1"/>
  </si>
  <si>
    <r>
      <t xml:space="preserve">管理責任者
Manager 
of the asset
</t>
    </r>
    <r>
      <rPr>
        <sz val="10"/>
        <color theme="1"/>
        <rFont val="Microsoft YaHei"/>
        <family val="3"/>
        <charset val="134"/>
      </rPr>
      <t xml:space="preserve">经理人 </t>
    </r>
    <rPh sb="0" eb="2">
      <t>カンリ</t>
    </rPh>
    <rPh sb="2" eb="4">
      <t>セキニン</t>
    </rPh>
    <rPh sb="4" eb="5">
      <t>シャ</t>
    </rPh>
    <phoneticPr fontId="1"/>
  </si>
  <si>
    <r>
      <t xml:space="preserve">外部公開
External public
</t>
    </r>
    <r>
      <rPr>
        <sz val="10"/>
        <rFont val="Microsoft YaHei"/>
        <family val="3"/>
        <charset val="134"/>
      </rPr>
      <t>外部公共</t>
    </r>
    <rPh sb="0" eb="2">
      <t>ガイブ</t>
    </rPh>
    <rPh sb="2" eb="4">
      <t>コウカイ</t>
    </rPh>
    <phoneticPr fontId="1"/>
  </si>
  <si>
    <t>資産の種類
Types of assets
资产种类</t>
    <phoneticPr fontId="1"/>
  </si>
  <si>
    <t>形式・カテゴリ
Media form
媒体形式</t>
    <rPh sb="0" eb="2">
      <t>ケイシキ</t>
    </rPh>
    <phoneticPr fontId="1"/>
  </si>
  <si>
    <t>設置場所・保管場所
Installation Location / Storage Location
安装地点 / 存放地点</t>
    <rPh sb="0" eb="2">
      <t>セッチ</t>
    </rPh>
    <rPh sb="2" eb="4">
      <t>バショ</t>
    </rPh>
    <rPh sb="5" eb="7">
      <t>ホカン</t>
    </rPh>
    <rPh sb="7" eb="9">
      <t>バショ</t>
    </rPh>
    <phoneticPr fontId="1"/>
  </si>
  <si>
    <t>契約状況
Contract status
合同情况</t>
    <rPh sb="0" eb="2">
      <t>ケイヤク</t>
    </rPh>
    <rPh sb="2" eb="4">
      <t>ジョウキョウ</t>
    </rPh>
    <phoneticPr fontId="1"/>
  </si>
  <si>
    <t>業務分担
Work Division
分工</t>
    <rPh sb="0" eb="2">
      <t>ギョウム</t>
    </rPh>
    <rPh sb="2" eb="4">
      <t>ブンタン</t>
    </rPh>
    <phoneticPr fontId="1"/>
  </si>
  <si>
    <r>
      <t xml:space="preserve">使用状況
Using Status
</t>
    </r>
    <r>
      <rPr>
        <b/>
        <sz val="10"/>
        <color theme="1"/>
        <rFont val="Microsoft YaHei"/>
        <family val="3"/>
        <charset val="134"/>
      </rPr>
      <t>使用状态</t>
    </r>
    <rPh sb="0" eb="2">
      <t>シヨウ</t>
    </rPh>
    <rPh sb="2" eb="4">
      <t>ジョウキョウ</t>
    </rPh>
    <phoneticPr fontId="1"/>
  </si>
  <si>
    <t xml:space="preserve">教育実施の必要性
Training Requirement </t>
    <rPh sb="0" eb="2">
      <t>キョウイク</t>
    </rPh>
    <rPh sb="2" eb="4">
      <t>ジッシ</t>
    </rPh>
    <rPh sb="5" eb="8">
      <t>ヒツヨウセイ</t>
    </rPh>
    <phoneticPr fontId="1"/>
  </si>
  <si>
    <r>
      <t xml:space="preserve">取得・運用認定
Acceptance/Operational Approval
</t>
    </r>
    <r>
      <rPr>
        <sz val="10"/>
        <color theme="1"/>
        <rFont val="Microsoft YaHei"/>
        <family val="3"/>
        <charset val="134"/>
      </rPr>
      <t>购置/业务批准：
验收/操作方法</t>
    </r>
    <rPh sb="0" eb="2">
      <t>シュトク</t>
    </rPh>
    <rPh sb="3" eb="5">
      <t>ウンヨウ</t>
    </rPh>
    <rPh sb="5" eb="7">
      <t>ニンテイ</t>
    </rPh>
    <phoneticPr fontId="1"/>
  </si>
  <si>
    <r>
      <t xml:space="preserve">システム
保守運用記録
System Operation Record
</t>
    </r>
    <r>
      <rPr>
        <sz val="10"/>
        <color theme="1"/>
        <rFont val="Microsoft YaHei"/>
        <family val="3"/>
        <charset val="134"/>
      </rPr>
      <t>系统运行记录</t>
    </r>
    <rPh sb="5" eb="7">
      <t>ホシュ</t>
    </rPh>
    <rPh sb="7" eb="9">
      <t>ウンヨウ</t>
    </rPh>
    <rPh sb="9" eb="11">
      <t>キロク</t>
    </rPh>
    <phoneticPr fontId="1"/>
  </si>
  <si>
    <r>
      <t xml:space="preserve">最新監査日
Latest Inspection Date
</t>
    </r>
    <r>
      <rPr>
        <sz val="10"/>
        <color theme="1"/>
        <rFont val="Microsoft YaHei"/>
        <family val="3"/>
        <charset val="134"/>
      </rPr>
      <t>最新检查日期</t>
    </r>
    <rPh sb="0" eb="2">
      <t>サイシン</t>
    </rPh>
    <rPh sb="2" eb="4">
      <t>カンサ</t>
    </rPh>
    <rPh sb="4" eb="5">
      <t>ヒ</t>
    </rPh>
    <phoneticPr fontId="1"/>
  </si>
  <si>
    <r>
      <t xml:space="preserve">監査結果
Inspection Result
</t>
    </r>
    <r>
      <rPr>
        <sz val="10"/>
        <color theme="1"/>
        <rFont val="Microsoft YaHei"/>
        <family val="3"/>
        <charset val="134"/>
      </rPr>
      <t>检查结果</t>
    </r>
    <rPh sb="0" eb="2">
      <t>カンサ</t>
    </rPh>
    <rPh sb="2" eb="4">
      <t>ケッカ</t>
    </rPh>
    <phoneticPr fontId="1"/>
  </si>
  <si>
    <r>
      <t xml:space="preserve">次回監査予定日
Planned Inspection Date
</t>
    </r>
    <r>
      <rPr>
        <sz val="10"/>
        <color theme="1"/>
        <rFont val="Microsoft YaHei"/>
        <family val="3"/>
        <charset val="134"/>
      </rPr>
      <t>下次计划检查日期</t>
    </r>
    <rPh sb="0" eb="2">
      <t>ジカイ</t>
    </rPh>
    <rPh sb="2" eb="4">
      <t>カンサ</t>
    </rPh>
    <rPh sb="4" eb="6">
      <t>ヨテイ</t>
    </rPh>
    <rPh sb="6" eb="7">
      <t>ビ</t>
    </rPh>
    <phoneticPr fontId="1"/>
  </si>
  <si>
    <r>
      <t xml:space="preserve">インシデント記録
Incident Record
</t>
    </r>
    <r>
      <rPr>
        <sz val="10"/>
        <color theme="1"/>
        <rFont val="Microsoft YaHei"/>
        <family val="3"/>
        <charset val="134"/>
      </rPr>
      <t>事故记录</t>
    </r>
    <rPh sb="6" eb="8">
      <t>キロク</t>
    </rPh>
    <phoneticPr fontId="1"/>
  </si>
  <si>
    <t>[IS-APM02-F06] 取引先管理表 / Business partner List</t>
    <rPh sb="15" eb="18">
      <t>トリヒキサキ</t>
    </rPh>
    <rPh sb="18" eb="20">
      <t>カンリ</t>
    </rPh>
    <rPh sb="20" eb="21">
      <t>ヒョウ</t>
    </rPh>
    <phoneticPr fontId="1"/>
  </si>
  <si>
    <t>版（Version)：B</t>
    <rPh sb="0" eb="1">
      <t>ハン</t>
    </rPh>
    <phoneticPr fontId="1"/>
  </si>
  <si>
    <t>Auto_ID</t>
    <phoneticPr fontId="1"/>
  </si>
  <si>
    <r>
      <t xml:space="preserve">当社主管部門
the department in charge within our company
</t>
    </r>
    <r>
      <rPr>
        <sz val="10"/>
        <color theme="1"/>
        <rFont val="Microsoft YaHei"/>
        <family val="3"/>
        <charset val="134"/>
      </rPr>
      <t>我司主管部门</t>
    </r>
    <r>
      <rPr>
        <sz val="10"/>
        <color theme="1"/>
        <rFont val="Meiryo UI"/>
        <family val="3"/>
        <charset val="128"/>
      </rPr>
      <t xml:space="preserve">
</t>
    </r>
    <rPh sb="0" eb="2">
      <t>トウシャ</t>
    </rPh>
    <rPh sb="2" eb="6">
      <t>シュカンブモン</t>
    </rPh>
    <phoneticPr fontId="1"/>
  </si>
  <si>
    <r>
      <t xml:space="preserve">立入り有無と範囲
Presence on Premise and Entry Permitted Area
</t>
    </r>
    <r>
      <rPr>
        <sz val="10"/>
        <color theme="1"/>
        <rFont val="Microsoft YaHei"/>
        <family val="3"/>
        <charset val="134"/>
      </rPr>
      <t>在场内的存在和允许进入的区域</t>
    </r>
    <r>
      <rPr>
        <sz val="10"/>
        <color theme="1"/>
        <rFont val="Meiryo UI"/>
        <family val="3"/>
        <charset val="128"/>
      </rPr>
      <t xml:space="preserve">
</t>
    </r>
    <rPh sb="0" eb="2">
      <t>タチイ</t>
    </rPh>
    <rPh sb="3" eb="5">
      <t>ウム</t>
    </rPh>
    <rPh sb="6" eb="8">
      <t>ハンイ</t>
    </rPh>
    <phoneticPr fontId="1"/>
  </si>
  <si>
    <r>
      <t xml:space="preserve">取引先側セキュリティ責任者
Security Officer in Business Partner
</t>
    </r>
    <r>
      <rPr>
        <sz val="10"/>
        <color theme="1"/>
        <rFont val="Microsoft YaHei"/>
        <family val="3"/>
        <charset val="134"/>
      </rPr>
      <t>合作方安全负责人</t>
    </r>
    <rPh sb="0" eb="3">
      <t>トリヒキサキ</t>
    </rPh>
    <rPh sb="3" eb="4">
      <t>ガワ</t>
    </rPh>
    <rPh sb="10" eb="13">
      <t>セキニンシャ</t>
    </rPh>
    <phoneticPr fontId="1"/>
  </si>
  <si>
    <r>
      <t xml:space="preserve">xNDA-007(情報セキュリティ契約)締結日
Execution Date of xNDA-007 (Information Security Agreement)
</t>
    </r>
    <r>
      <rPr>
        <sz val="8"/>
        <color theme="1"/>
        <rFont val="Microsoft YaHei"/>
        <family val="3"/>
        <charset val="134"/>
      </rPr>
      <t>xNDA-007（信息安全协议）签署日期</t>
    </r>
    <phoneticPr fontId="1"/>
  </si>
  <si>
    <t>ISMS最新周知日
契約開始時　および　お取引先様向け 情報セキュリティ対策基準改訂時に提示する</t>
    <rPh sb="11" eb="13">
      <t>ケイヤク</t>
    </rPh>
    <rPh sb="13" eb="15">
      <t>カイシ</t>
    </rPh>
    <rPh sb="15" eb="16">
      <t>ジ</t>
    </rPh>
    <phoneticPr fontId="1"/>
  </si>
  <si>
    <r>
      <t xml:space="preserve">最新監査日(評価日)
Latest Audit Date (Assessment Date)
</t>
    </r>
    <r>
      <rPr>
        <sz val="9"/>
        <color theme="1"/>
        <rFont val="Microsoft YaHei"/>
        <family val="3"/>
        <charset val="134"/>
      </rPr>
      <t>最新审计日期（评估日期）</t>
    </r>
    <r>
      <rPr>
        <sz val="9"/>
        <color theme="1"/>
        <rFont val="Meiryo UI"/>
        <family val="3"/>
        <charset val="128"/>
      </rPr>
      <t xml:space="preserve">
</t>
    </r>
    <rPh sb="0" eb="2">
      <t>サイシン</t>
    </rPh>
    <rPh sb="2" eb="4">
      <t>カンサ</t>
    </rPh>
    <rPh sb="4" eb="5">
      <t>ヒ</t>
    </rPh>
    <rPh sb="6" eb="8">
      <t>ヒョウカ</t>
    </rPh>
    <rPh sb="8" eb="9">
      <t>ビ</t>
    </rPh>
    <phoneticPr fontId="1"/>
  </si>
  <si>
    <r>
      <t xml:space="preserve">最新監査・評価結果
Latest Audit or Assessment Results
</t>
    </r>
    <r>
      <rPr>
        <sz val="9"/>
        <color theme="1"/>
        <rFont val="Microsoft YaHei"/>
        <family val="3"/>
        <charset val="134"/>
      </rPr>
      <t>最新审计与评估结果</t>
    </r>
    <r>
      <rPr>
        <sz val="9"/>
        <color theme="1"/>
        <rFont val="Meiryo UI"/>
        <family val="3"/>
        <charset val="128"/>
      </rPr>
      <t xml:space="preserve">
</t>
    </r>
    <rPh sb="0" eb="2">
      <t>サイシン</t>
    </rPh>
    <rPh sb="2" eb="4">
      <t>カンサ</t>
    </rPh>
    <rPh sb="5" eb="7">
      <t>ヒョウカ</t>
    </rPh>
    <rPh sb="7" eb="9">
      <t>ケッカ</t>
    </rPh>
    <phoneticPr fontId="1"/>
  </si>
  <si>
    <r>
      <t xml:space="preserve">次回監査・評価予定日
Next Audit and Assessment Date
</t>
    </r>
    <r>
      <rPr>
        <sz val="10"/>
        <color theme="1"/>
        <rFont val="Microsoft YaHei"/>
        <family val="3"/>
        <charset val="134"/>
      </rPr>
      <t>下次审计与评估日期</t>
    </r>
    <rPh sb="0" eb="2">
      <t>ジカイ</t>
    </rPh>
    <rPh sb="2" eb="4">
      <t>カンサ</t>
    </rPh>
    <rPh sb="5" eb="7">
      <t>ヒョウカ</t>
    </rPh>
    <rPh sb="7" eb="9">
      <t>ヨテイ</t>
    </rPh>
    <rPh sb="9" eb="10">
      <t>ビ</t>
    </rPh>
    <phoneticPr fontId="1"/>
  </si>
  <si>
    <r>
      <t xml:space="preserve">インシデント
記録
Incidnet Record
</t>
    </r>
    <r>
      <rPr>
        <sz val="10"/>
        <color theme="1"/>
        <rFont val="Microsoft YaHei"/>
        <family val="3"/>
        <charset val="134"/>
      </rPr>
      <t>事件
记录</t>
    </r>
    <rPh sb="7" eb="9">
      <t>キロク</t>
    </rPh>
    <phoneticPr fontId="1"/>
  </si>
  <si>
    <r>
      <t xml:space="preserve">関連顧客名
Related customer name
</t>
    </r>
    <r>
      <rPr>
        <sz val="10"/>
        <color theme="1"/>
        <rFont val="Microsoft YaHei"/>
        <family val="3"/>
        <charset val="134"/>
      </rPr>
      <t>关客户名称</t>
    </r>
    <rPh sb="0" eb="2">
      <t>カンレン</t>
    </rPh>
    <rPh sb="2" eb="5">
      <t>コキャクメイ</t>
    </rPh>
    <phoneticPr fontId="1"/>
  </si>
  <si>
    <t>顧客要件
周知日
Latest educated date 
最新受教育日期</t>
    <rPh sb="0" eb="2">
      <t>コキャク</t>
    </rPh>
    <rPh sb="2" eb="4">
      <t>ヨウケン</t>
    </rPh>
    <rPh sb="5" eb="7">
      <t>シュウチ</t>
    </rPh>
    <rPh sb="7" eb="8">
      <t>ビ</t>
    </rPh>
    <phoneticPr fontId="1"/>
  </si>
  <si>
    <r>
      <t xml:space="preserve">顧客
承認日
Customer Approval Date
</t>
    </r>
    <r>
      <rPr>
        <sz val="10"/>
        <color theme="1"/>
        <rFont val="Microsoft YaHei"/>
        <family val="3"/>
        <charset val="134"/>
      </rPr>
      <t>客户批准日期</t>
    </r>
    <rPh sb="5" eb="6">
      <t>ビ</t>
    </rPh>
    <phoneticPr fontId="1"/>
  </si>
  <si>
    <r>
      <t xml:space="preserve">施設要件の
有無と内容
Fascility Requirement
</t>
    </r>
    <r>
      <rPr>
        <sz val="10"/>
        <color theme="1"/>
        <rFont val="Microsoft YaHei"/>
        <family val="3"/>
        <charset val="134"/>
      </rPr>
      <t>设施要求</t>
    </r>
    <phoneticPr fontId="1"/>
  </si>
  <si>
    <r>
      <t xml:space="preserve">施設スペック
Fascility Requirement specification
</t>
    </r>
    <r>
      <rPr>
        <sz val="10"/>
        <color theme="1"/>
        <rFont val="Microsoft YaHei"/>
        <family val="3"/>
        <charset val="134"/>
      </rPr>
      <t>魅力要求规格</t>
    </r>
    <phoneticPr fontId="1"/>
  </si>
  <si>
    <t>求める可用性
Required availability
要求的可用性</t>
    <rPh sb="0" eb="1">
      <t>モト</t>
    </rPh>
    <phoneticPr fontId="1"/>
  </si>
  <si>
    <r>
      <t xml:space="preserve">契約終了時のデータ返却・
消去条件 
Data Return
/Deletion on Termination 
</t>
    </r>
    <r>
      <rPr>
        <sz val="10"/>
        <color theme="1"/>
        <rFont val="Microsoft YaHei"/>
        <family val="2"/>
        <charset val="134"/>
      </rPr>
      <t>终</t>
    </r>
    <r>
      <rPr>
        <sz val="10"/>
        <color theme="1"/>
        <rFont val="Meiryo UI"/>
        <family val="3"/>
        <charset val="128"/>
      </rPr>
      <t>止</t>
    </r>
    <r>
      <rPr>
        <sz val="10"/>
        <color theme="1"/>
        <rFont val="Microsoft YaHei"/>
        <family val="2"/>
        <charset val="134"/>
      </rPr>
      <t>时</t>
    </r>
    <r>
      <rPr>
        <sz val="10"/>
        <color theme="1"/>
        <rFont val="Meiryo UI"/>
        <family val="3"/>
        <charset val="128"/>
      </rPr>
      <t>数据返</t>
    </r>
    <r>
      <rPr>
        <sz val="10"/>
        <color theme="1"/>
        <rFont val="Microsoft YaHei"/>
        <family val="2"/>
        <charset val="134"/>
      </rPr>
      <t>还</t>
    </r>
    <r>
      <rPr>
        <sz val="10"/>
        <color theme="1"/>
        <rFont val="Meiryo UI"/>
        <family val="3"/>
        <charset val="128"/>
      </rPr>
      <t>/</t>
    </r>
    <r>
      <rPr>
        <sz val="10"/>
        <color theme="1"/>
        <rFont val="Microsoft YaHei"/>
        <family val="2"/>
        <charset val="134"/>
      </rPr>
      <t>删</t>
    </r>
    <r>
      <rPr>
        <sz val="10"/>
        <color theme="1"/>
        <rFont val="Meiryo UI"/>
        <family val="3"/>
        <charset val="128"/>
      </rPr>
      <t>除</t>
    </r>
    <rPh sb="0" eb="2">
      <t>ケイヤク</t>
    </rPh>
    <phoneticPr fontId="1"/>
  </si>
  <si>
    <t>[IS-APM02-F07] プロジェクト管理表 / Project List</t>
    <rPh sb="21" eb="23">
      <t>カンリ</t>
    </rPh>
    <rPh sb="23" eb="24">
      <t>ヒョウ</t>
    </rPh>
    <phoneticPr fontId="1"/>
  </si>
  <si>
    <t>版（Version)：A</t>
    <rPh sb="0" eb="1">
      <t>ハン</t>
    </rPh>
    <phoneticPr fontId="1"/>
  </si>
  <si>
    <t>プロジェクト管理No
Project Control Number
控制号</t>
    <rPh sb="6" eb="8">
      <t>カンリ</t>
    </rPh>
    <phoneticPr fontId="1"/>
  </si>
  <si>
    <r>
      <t xml:space="preserve">特別管理を要求している顧客名
Customer Name
</t>
    </r>
    <r>
      <rPr>
        <sz val="10"/>
        <color theme="1"/>
        <rFont val="Microsoft YaHei"/>
        <family val="3"/>
        <charset val="134"/>
      </rPr>
      <t>客户名称</t>
    </r>
    <rPh sb="0" eb="2">
      <t>トクベツ</t>
    </rPh>
    <rPh sb="2" eb="4">
      <t>カンリ</t>
    </rPh>
    <rPh sb="5" eb="7">
      <t>ヨウキュウ</t>
    </rPh>
    <rPh sb="11" eb="14">
      <t>コキャクメイ</t>
    </rPh>
    <phoneticPr fontId="1"/>
  </si>
  <si>
    <r>
      <t xml:space="preserve">プロジェクト名称
Project Name
</t>
    </r>
    <r>
      <rPr>
        <sz val="10"/>
        <color theme="1"/>
        <rFont val="Microsoft YaHei"/>
        <family val="3"/>
        <charset val="134"/>
      </rPr>
      <t>项目名称</t>
    </r>
    <rPh sb="6" eb="8">
      <t>メイショウ</t>
    </rPh>
    <phoneticPr fontId="1"/>
  </si>
  <si>
    <r>
      <t xml:space="preserve">プロジェクト主管部門
Project Lead Department
</t>
    </r>
    <r>
      <rPr>
        <sz val="10"/>
        <color theme="1"/>
        <rFont val="Microsoft YaHei"/>
        <family val="3"/>
        <charset val="134"/>
      </rPr>
      <t>项目主管部门</t>
    </r>
    <rPh sb="6" eb="10">
      <t>シュカンブモン</t>
    </rPh>
    <phoneticPr fontId="1"/>
  </si>
  <si>
    <r>
      <t>プロジェクト管理責任者
Project</t>
    </r>
    <r>
      <rPr>
        <sz val="10"/>
        <color theme="1"/>
        <rFont val="游ゴシック"/>
        <family val="3"/>
        <charset val="128"/>
      </rPr>
      <t xml:space="preserve"> </t>
    </r>
    <r>
      <rPr>
        <sz val="10"/>
        <color theme="1"/>
        <rFont val="Microsoft YaHei"/>
        <family val="3"/>
        <charset val="134"/>
      </rPr>
      <t xml:space="preserve">Manager 
of the asset
经理人 </t>
    </r>
    <rPh sb="6" eb="8">
      <t>カンリ</t>
    </rPh>
    <rPh sb="8" eb="10">
      <t>セキニン</t>
    </rPh>
    <rPh sb="10" eb="11">
      <t>シャ</t>
    </rPh>
    <rPh sb="43" eb="44">
      <t>オサム</t>
    </rPh>
    <rPh sb="44" eb="45">
      <t>ヒト</t>
    </rPh>
    <phoneticPr fontId="1"/>
  </si>
  <si>
    <t>プロジェクト
メンバー
Project Member
委员</t>
    <phoneticPr fontId="1"/>
  </si>
  <si>
    <r>
      <t xml:space="preserve">作業場所
Working Space
</t>
    </r>
    <r>
      <rPr>
        <sz val="10"/>
        <color theme="1"/>
        <rFont val="Microsoft YaHei"/>
        <family val="3"/>
        <charset val="134"/>
      </rPr>
      <t>工作空间</t>
    </r>
    <rPh sb="0" eb="2">
      <t>サギョウ</t>
    </rPh>
    <rPh sb="2" eb="4">
      <t>バショ</t>
    </rPh>
    <phoneticPr fontId="1"/>
  </si>
  <si>
    <t>その他の
顧客要件
・法的要件
Other Customer req, 
Requlation/
Laws req.
其他
客户要求
法律要求</t>
    <phoneticPr fontId="1"/>
  </si>
  <si>
    <r>
      <t xml:space="preserve">プロジェクト監査実施日
Latest Inspection Date
</t>
    </r>
    <r>
      <rPr>
        <sz val="10"/>
        <color theme="1"/>
        <rFont val="Microsoft YaHei"/>
        <family val="3"/>
        <charset val="134"/>
      </rPr>
      <t>最新检查日期</t>
    </r>
    <rPh sb="6" eb="8">
      <t>カンサ</t>
    </rPh>
    <rPh sb="8" eb="10">
      <t>ジッシ</t>
    </rPh>
    <rPh sb="10" eb="11">
      <t>ヒ</t>
    </rPh>
    <phoneticPr fontId="1"/>
  </si>
  <si>
    <r>
      <t xml:space="preserve">監査結果・評価
Inspection Result
</t>
    </r>
    <r>
      <rPr>
        <sz val="10"/>
        <color theme="1"/>
        <rFont val="Microsoft YaHei"/>
        <family val="3"/>
        <charset val="134"/>
      </rPr>
      <t xml:space="preserve">检查结果
</t>
    </r>
    <r>
      <rPr>
        <sz val="10"/>
        <color theme="1"/>
        <rFont val="Meiryo UI"/>
        <family val="3"/>
        <charset val="128"/>
      </rPr>
      <t>評価点数、評価（優/良/不可など）</t>
    </r>
    <rPh sb="0" eb="2">
      <t>カンサ</t>
    </rPh>
    <rPh sb="2" eb="4">
      <t>ケッカ</t>
    </rPh>
    <rPh sb="5" eb="7">
      <t>ヒョウカ</t>
    </rPh>
    <phoneticPr fontId="1"/>
  </si>
  <si>
    <t>インシデント記録
Incident Record
事故记录</t>
    <phoneticPr fontId="1"/>
  </si>
  <si>
    <r>
      <t xml:space="preserve">xNDA-008(情報セキュリティ契約)締結の有無
xNDA-008 (Information Security Agreement) Signed (Yes/No)
</t>
    </r>
    <r>
      <rPr>
        <sz val="10"/>
        <color theme="1"/>
        <rFont val="Microsoft YaHei"/>
        <family val="3"/>
        <charset val="134"/>
      </rPr>
      <t>是否已签署 xNDA-008（信息安全协议）</t>
    </r>
    <rPh sb="23" eb="25">
      <t>ウム</t>
    </rPh>
    <phoneticPr fontId="1"/>
  </si>
  <si>
    <t xml:space="preserve">再委託先
Subprocessor
再委托方
</t>
    <rPh sb="0" eb="4">
      <t>サイイタクサキ</t>
    </rPh>
    <phoneticPr fontId="1"/>
  </si>
  <si>
    <t xml:space="preserve">[IS-APM02-F08] ソフトウエア管理表 / Software Management / </t>
    <phoneticPr fontId="1"/>
  </si>
  <si>
    <t>バージョン
Software Version
软件版本</t>
    <phoneticPr fontId="1"/>
  </si>
  <si>
    <t>管理責任者
（貸出し元）
Manager of the userside
管理责任人</t>
    <phoneticPr fontId="1"/>
  </si>
  <si>
    <t>モバイル機器資産名
Name of the mobile asset
移动资产的名称</t>
    <phoneticPr fontId="1"/>
  </si>
  <si>
    <t>資産管理番号
Asset Number
资产编号</t>
    <phoneticPr fontId="1"/>
  </si>
  <si>
    <t>ライセンス種別
License Type
许可证类型</t>
    <phoneticPr fontId="1"/>
  </si>
  <si>
    <t>ライセンス数
Number of Licenses
许可证数量</t>
    <phoneticPr fontId="1"/>
  </si>
  <si>
    <r>
      <t xml:space="preserve">[IS-APM02-F09] 従事者管理表 / Worker Management / </t>
    </r>
    <r>
      <rPr>
        <sz val="12"/>
        <color theme="1"/>
        <rFont val="Microsoft YaHei"/>
        <family val="3"/>
        <charset val="134"/>
      </rPr>
      <t>从业人员管理台账</t>
    </r>
    <rPh sb="15" eb="18">
      <t>ジュウジシャ</t>
    </rPh>
    <rPh sb="18" eb="20">
      <t>カンリ</t>
    </rPh>
    <rPh sb="20" eb="21">
      <t>ヒョウ</t>
    </rPh>
    <rPh sb="44" eb="45">
      <t>シタガエル</t>
    </rPh>
    <rPh sb="46" eb="47">
      <t>ニン</t>
    </rPh>
    <rPh sb="48" eb="50">
      <t>カンリ</t>
    </rPh>
    <rPh sb="50" eb="51">
      <t>ダイ</t>
    </rPh>
    <phoneticPr fontId="1"/>
  </si>
  <si>
    <r>
      <t>会社名称・取引先名称
Company Name/Business Partner Name
公司名称・客</t>
    </r>
    <r>
      <rPr>
        <sz val="10"/>
        <color theme="1"/>
        <rFont val="Microsoft YaHei"/>
        <family val="2"/>
        <charset val="134"/>
      </rPr>
      <t>户</t>
    </r>
    <r>
      <rPr>
        <sz val="10"/>
        <color theme="1"/>
        <rFont val="Meiryo UI"/>
        <family val="3"/>
        <charset val="128"/>
      </rPr>
      <t>名称</t>
    </r>
    <rPh sb="0" eb="2">
      <t>カイシャ</t>
    </rPh>
    <rPh sb="2" eb="4">
      <t>メイショウ</t>
    </rPh>
    <rPh sb="5" eb="8">
      <t>トリヒキサキ</t>
    </rPh>
    <rPh sb="8" eb="10">
      <t>メイショウ</t>
    </rPh>
    <phoneticPr fontId="1"/>
  </si>
  <si>
    <r>
      <t xml:space="preserve">ALAP
社員番号
ALAP Employee Number
</t>
    </r>
    <r>
      <rPr>
        <sz val="10"/>
        <color theme="1"/>
        <rFont val="Microsoft YaHei"/>
        <family val="3"/>
        <charset val="134"/>
      </rPr>
      <t>ALAP员工编号</t>
    </r>
    <rPh sb="5" eb="7">
      <t>シャイン</t>
    </rPh>
    <rPh sb="7" eb="9">
      <t>バンゴウ</t>
    </rPh>
    <phoneticPr fontId="1"/>
  </si>
  <si>
    <r>
      <t xml:space="preserve">従事者氏名
Name of the person engaged
</t>
    </r>
    <r>
      <rPr>
        <sz val="10"/>
        <color theme="1"/>
        <rFont val="Microsoft YaHei"/>
        <family val="3"/>
        <charset val="134"/>
      </rPr>
      <t>从事人员姓名</t>
    </r>
    <rPh sb="2" eb="3">
      <t>モノ</t>
    </rPh>
    <rPh sb="3" eb="5">
      <t>シメイ</t>
    </rPh>
    <phoneticPr fontId="1"/>
  </si>
  <si>
    <r>
      <t>従事者のメールアドレス
Email address of the person engaged</t>
    </r>
    <r>
      <rPr>
        <sz val="10"/>
        <color theme="1"/>
        <rFont val="Microsoft YaHei"/>
        <family val="3"/>
        <charset val="134"/>
      </rPr>
      <t xml:space="preserve">
从事人员电子邮箱地址</t>
    </r>
    <rPh sb="2" eb="3">
      <t>シャ</t>
    </rPh>
    <phoneticPr fontId="1"/>
  </si>
  <si>
    <t>自動表示
氏名(メールアドレス)
Person Name(Mail Address）</t>
    <rPh sb="0" eb="2">
      <t>ジドウ</t>
    </rPh>
    <rPh sb="2" eb="4">
      <t>ヒョウジ</t>
    </rPh>
    <rPh sb="5" eb="7">
      <t>シメイ</t>
    </rPh>
    <phoneticPr fontId="1"/>
  </si>
  <si>
    <t>当社との関係性
Relationship with our company
与本公司的关系</t>
    <rPh sb="0" eb="2">
      <t>トウシャ</t>
    </rPh>
    <rPh sb="4" eb="7">
      <t>カンケイセイ</t>
    </rPh>
    <phoneticPr fontId="1"/>
  </si>
  <si>
    <t>AD Account ID</t>
    <phoneticPr fontId="1"/>
  </si>
  <si>
    <r>
      <t xml:space="preserve">当社業務への従事開始日
Start date of work for our company 
</t>
    </r>
    <r>
      <rPr>
        <sz val="10"/>
        <color theme="1"/>
        <rFont val="Microsoft YaHei"/>
        <family val="3"/>
        <charset val="134"/>
      </rPr>
      <t>开始从事本公司业务的日期</t>
    </r>
    <rPh sb="0" eb="2">
      <t>トウシャ</t>
    </rPh>
    <rPh sb="2" eb="4">
      <t>ギョウム</t>
    </rPh>
    <rPh sb="6" eb="8">
      <t>ジュウジ</t>
    </rPh>
    <rPh sb="8" eb="11">
      <t>カイシビ</t>
    </rPh>
    <phoneticPr fontId="1"/>
  </si>
  <si>
    <r>
      <t xml:space="preserve">ISMS最新教育日
</t>
    </r>
    <r>
      <rPr>
        <sz val="10"/>
        <color theme="1"/>
        <rFont val="Microsoft YaHei"/>
        <family val="3"/>
        <charset val="134"/>
      </rPr>
      <t xml:space="preserve">Last ISMS Training Date
最新ISMS培训日期
</t>
    </r>
    <r>
      <rPr>
        <sz val="10"/>
        <color theme="1"/>
        <rFont val="Meiryo UI"/>
        <family val="3"/>
        <charset val="128"/>
      </rPr>
      <t xml:space="preserve">
構内請負社員には請負事業主からの教育実施が原則。</t>
    </r>
    <rPh sb="6" eb="8">
      <t>キョウイク</t>
    </rPh>
    <rPh sb="46" eb="48">
      <t>コウナイ</t>
    </rPh>
    <rPh sb="48" eb="50">
      <t>ウケオイ</t>
    </rPh>
    <rPh sb="50" eb="52">
      <t>シャイン</t>
    </rPh>
    <rPh sb="54" eb="56">
      <t>ウケオイ</t>
    </rPh>
    <rPh sb="56" eb="59">
      <t>ジギョウヌシ</t>
    </rPh>
    <rPh sb="62" eb="64">
      <t>キョウイク</t>
    </rPh>
    <rPh sb="64" eb="66">
      <t>ジッシ</t>
    </rPh>
    <rPh sb="67" eb="69">
      <t>ゲンソク</t>
    </rPh>
    <phoneticPr fontId="1"/>
  </si>
  <si>
    <r>
      <t>教育
理解状況
Educated result / Class
教育成果</t>
    </r>
    <r>
      <rPr>
        <sz val="10"/>
        <color theme="1"/>
        <rFont val="Microsoft YaHei"/>
        <family val="3"/>
        <charset val="134"/>
      </rPr>
      <t>/班级</t>
    </r>
    <rPh sb="0" eb="2">
      <t>キョウイク</t>
    </rPh>
    <rPh sb="3" eb="5">
      <t>リカイ</t>
    </rPh>
    <rPh sb="5" eb="7">
      <t>ジョウキョウ</t>
    </rPh>
    <phoneticPr fontId="1"/>
  </si>
  <si>
    <r>
      <t xml:space="preserve">次回ISMS
教育予定日
Planned Education Date
</t>
    </r>
    <r>
      <rPr>
        <sz val="10"/>
        <color theme="1"/>
        <rFont val="Microsoft YaHei"/>
        <family val="3"/>
        <charset val="134"/>
      </rPr>
      <t>下一次ISMS
计划教育日期</t>
    </r>
    <rPh sb="0" eb="2">
      <t>ジカイ</t>
    </rPh>
    <rPh sb="7" eb="9">
      <t>キョウイク</t>
    </rPh>
    <rPh sb="9" eb="12">
      <t>ヨテイビ</t>
    </rPh>
    <phoneticPr fontId="1"/>
  </si>
  <si>
    <t>セキュリティ契約
締結日
Date of the Security Contract
担保合同的日期</t>
    <phoneticPr fontId="1"/>
  </si>
  <si>
    <t>契約先セキュリティ
責任者名
Security Manager
安全经理</t>
    <phoneticPr fontId="1"/>
  </si>
  <si>
    <t>ノートPC
Laptop PC
笔记本电脑</t>
    <phoneticPr fontId="1"/>
  </si>
  <si>
    <t>内線スマホ
Smartphone
智能手机</t>
    <phoneticPr fontId="1"/>
  </si>
  <si>
    <t>タブレットなど
Tablet PC etc
平板电脑</t>
    <phoneticPr fontId="1"/>
  </si>
  <si>
    <t>USBメモリ等
Medium like USBMemory
介质如USBMemory</t>
    <phoneticPr fontId="1"/>
  </si>
  <si>
    <t>試作品
Prototype name
原型名称</t>
    <phoneticPr fontId="1"/>
  </si>
  <si>
    <t>システム
System name
系统名称</t>
    <phoneticPr fontId="1"/>
  </si>
  <si>
    <t>情報
Infomation Name
信息名称</t>
    <phoneticPr fontId="1"/>
  </si>
  <si>
    <r>
      <t xml:space="preserve">[IS-APM02-F02-A] 情報資産 -保存・保管場所管理表 / Information Asset Storage and Retention Location Management List / </t>
    </r>
    <r>
      <rPr>
        <sz val="12"/>
        <color theme="1"/>
        <rFont val="Microsoft YaHei"/>
        <family val="3"/>
        <charset val="134"/>
      </rPr>
      <t>信息资产－存储及保管场所管理表</t>
    </r>
    <rPh sb="17" eb="19">
      <t>ジョウホウ</t>
    </rPh>
    <rPh sb="19" eb="21">
      <t>シサン</t>
    </rPh>
    <rPh sb="23" eb="25">
      <t>ホゾン</t>
    </rPh>
    <rPh sb="26" eb="30">
      <t>ホカンバショ</t>
    </rPh>
    <rPh sb="30" eb="33">
      <t>カンリヒョウ</t>
    </rPh>
    <phoneticPr fontId="1"/>
  </si>
  <si>
    <t>I情報資産／試作品
Info/Proto</t>
    <rPh sb="1" eb="3">
      <t>ジョウホウ</t>
    </rPh>
    <rPh sb="3" eb="5">
      <t>シサン</t>
    </rPh>
    <rPh sb="6" eb="9">
      <t>シサクヒン</t>
    </rPh>
    <phoneticPr fontId="1"/>
  </si>
  <si>
    <r>
      <t xml:space="preserve">情報資産名
Information Asset Name
</t>
    </r>
    <r>
      <rPr>
        <sz val="10"/>
        <color theme="1"/>
        <rFont val="Microsoft YaHei"/>
        <family val="3"/>
        <charset val="134"/>
      </rPr>
      <t>信息资产名称</t>
    </r>
    <rPh sb="0" eb="2">
      <t>ジョウホウ</t>
    </rPh>
    <rPh sb="2" eb="4">
      <t>シサン</t>
    </rPh>
    <rPh sb="4" eb="5">
      <t>メイ</t>
    </rPh>
    <phoneticPr fontId="1"/>
  </si>
  <si>
    <t>管理番号(自動表示)
No(AutoDisplay)</t>
    <rPh sb="0" eb="4">
      <t>カンリバンゴウ</t>
    </rPh>
    <rPh sb="5" eb="9">
      <t>ジドウヒョウジ</t>
    </rPh>
    <phoneticPr fontId="1"/>
  </si>
  <si>
    <t xml:space="preserve">補助資産種別選定
Suppliment
BP
Project 
</t>
    <rPh sb="0" eb="6">
      <t>ホジョシサンシュベツ</t>
    </rPh>
    <rPh sb="6" eb="8">
      <t>センテイ</t>
    </rPh>
    <phoneticPr fontId="1"/>
  </si>
  <si>
    <r>
      <t xml:space="preserve">情報資産を保存・保管している保管場所（補助資産・クラウドサービス・ソフトウェア・取引先・プロジェクト）
Storage and retention locations of information assets (supporting assets, cloud services, software, Business Partner, and Project)
</t>
    </r>
    <r>
      <rPr>
        <sz val="10"/>
        <color theme="1"/>
        <rFont val="Microsoft YaHei"/>
        <family val="3"/>
        <charset val="134"/>
      </rPr>
      <t>信息资产存储／保管地点（辅助资产、云服务及软件、合作方、项目）</t>
    </r>
    <rPh sb="40" eb="43">
      <t>トリヒキサキ</t>
    </rPh>
    <phoneticPr fontId="1"/>
  </si>
  <si>
    <t>利用開始日</t>
    <rPh sb="0" eb="5">
      <t>リヨウカイシビ</t>
    </rPh>
    <phoneticPr fontId="1"/>
  </si>
  <si>
    <t>利用終了日</t>
    <rPh sb="0" eb="4">
      <t>リヨウシュウリョウ</t>
    </rPh>
    <rPh sb="4" eb="5">
      <t>ビ</t>
    </rPh>
    <phoneticPr fontId="1"/>
  </si>
  <si>
    <r>
      <t xml:space="preserve">[IS-APM02-F09-A] 従事者 - アクセス可能対象管理表 / Personnel Accessible Asset Management List / </t>
    </r>
    <r>
      <rPr>
        <sz val="12"/>
        <color theme="1"/>
        <rFont val="Microsoft YaHei"/>
        <family val="3"/>
        <charset val="134"/>
      </rPr>
      <t>人员访问权限对象管理表</t>
    </r>
    <rPh sb="17" eb="20">
      <t>ジュウジシャ</t>
    </rPh>
    <rPh sb="27" eb="29">
      <t>カノウ</t>
    </rPh>
    <rPh sb="29" eb="31">
      <t>タイショウ</t>
    </rPh>
    <rPh sb="31" eb="34">
      <t>カンリヒョウ</t>
    </rPh>
    <phoneticPr fontId="1"/>
  </si>
  <si>
    <r>
      <t xml:space="preserve">従事者氏名/Mail(選択)
Name of the person engaged&amp;Mail
</t>
    </r>
    <r>
      <rPr>
        <sz val="10"/>
        <color theme="1"/>
        <rFont val="Microsoft YaHei"/>
        <family val="3"/>
        <charset val="134"/>
      </rPr>
      <t>从事人员姓名</t>
    </r>
    <r>
      <rPr>
        <sz val="10"/>
        <color theme="1"/>
        <rFont val="Meiryo UI"/>
        <family val="3"/>
        <charset val="128"/>
      </rPr>
      <t>&amp;Mail</t>
    </r>
    <rPh sb="2" eb="3">
      <t>モノ</t>
    </rPh>
    <rPh sb="3" eb="5">
      <t>シメイ</t>
    </rPh>
    <rPh sb="11" eb="13">
      <t>センタク</t>
    </rPh>
    <phoneticPr fontId="1"/>
  </si>
  <si>
    <t>ADアカウント(自動表示)
AD Account ID(Auto)</t>
    <rPh sb="8" eb="12">
      <t>ジドウヒョウジ</t>
    </rPh>
    <phoneticPr fontId="1"/>
  </si>
  <si>
    <t xml:space="preserve">補助資産種別選定
Suppliment
BP
Project </t>
    <rPh sb="0" eb="6">
      <t>ホジョシサンシュベツ</t>
    </rPh>
    <rPh sb="6" eb="8">
      <t>センテイ</t>
    </rPh>
    <phoneticPr fontId="1"/>
  </si>
  <si>
    <r>
      <t>アクセス可能な対象資産
Accessible resources</t>
    </r>
    <r>
      <rPr>
        <sz val="10"/>
        <color theme="1"/>
        <rFont val="Microsoft YaHei"/>
        <family val="3"/>
        <charset val="134"/>
      </rPr>
      <t xml:space="preserve">
可访问的资产</t>
    </r>
    <rPh sb="7" eb="9">
      <t>タイショウ</t>
    </rPh>
    <rPh sb="9" eb="11">
      <t>シサン</t>
    </rPh>
    <phoneticPr fontId="1"/>
  </si>
  <si>
    <t>アカウントID
Account ID</t>
    <phoneticPr fontId="1"/>
  </si>
  <si>
    <t>開始日
Start Date</t>
    <rPh sb="0" eb="3">
      <t>カイシビ</t>
    </rPh>
    <phoneticPr fontId="1"/>
  </si>
  <si>
    <t>権限
Authority</t>
    <rPh sb="0" eb="2">
      <t>ケンゲン</t>
    </rPh>
    <phoneticPr fontId="1"/>
  </si>
  <si>
    <t>教育の必要性(自動表示)
Training Requierment</t>
    <rPh sb="0" eb="2">
      <t>キョウイク</t>
    </rPh>
    <rPh sb="3" eb="6">
      <t>ヒツヨウセイ</t>
    </rPh>
    <rPh sb="7" eb="11">
      <t>ジドウヒョウジ</t>
    </rPh>
    <phoneticPr fontId="1"/>
  </si>
  <si>
    <r>
      <t>アカウント権限内容説明
Account Privilege Description</t>
    </r>
    <r>
      <rPr>
        <sz val="10"/>
        <color theme="1"/>
        <rFont val="Microsoft YaHei"/>
        <family val="3"/>
        <charset val="134"/>
      </rPr>
      <t xml:space="preserve">
账户权限说明</t>
    </r>
    <rPh sb="5" eb="7">
      <t>ケンゲン</t>
    </rPh>
    <rPh sb="7" eb="9">
      <t>ナイヨウ</t>
    </rPh>
    <rPh sb="9" eb="11">
      <t>セツメイ</t>
    </rPh>
    <phoneticPr fontId="1"/>
  </si>
  <si>
    <t xml:space="preserve">[IS-APM02-F09-B] ソフト利用者管理表 / Software user List </t>
    <rPh sb="20" eb="23">
      <t>リヨウシャ</t>
    </rPh>
    <rPh sb="23" eb="26">
      <t>カンリヒョウ</t>
    </rPh>
    <phoneticPr fontId="1"/>
  </si>
  <si>
    <t>ADアカウント(自動表示)
AD Account ID(Auto)</t>
    <rPh sb="8" eb="10">
      <t>ジドウ</t>
    </rPh>
    <rPh sb="10" eb="12">
      <t>ヒョウジ</t>
    </rPh>
    <phoneticPr fontId="1"/>
  </si>
  <si>
    <t>Software_Name(固定)</t>
    <rPh sb="14" eb="16">
      <t>コテイ</t>
    </rPh>
    <phoneticPr fontId="1"/>
  </si>
  <si>
    <r>
      <t>アクセス可能な対象資産(選択)
Accessible resources</t>
    </r>
    <r>
      <rPr>
        <sz val="10"/>
        <color theme="1"/>
        <rFont val="Microsoft YaHei"/>
        <family val="3"/>
        <charset val="134"/>
      </rPr>
      <t xml:space="preserve">
可访问的资产</t>
    </r>
    <rPh sb="7" eb="9">
      <t>タイショウ</t>
    </rPh>
    <rPh sb="9" eb="11">
      <t>シサン</t>
    </rPh>
    <rPh sb="12" eb="14">
      <t>センタク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</si>
</sst>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2">
    <font>
      <sz val="11"/>
      <color theme="1"/>
      <name val="Aptos Narrow"/>
      <family val="2"/>
      <charset val="128"/>
      <scheme val="minor"/>
    </font>
    <font>
      <sz val="6"/>
      <name val="Aptos Narrow"/>
      <family val="2"/>
      <charset val="128"/>
      <scheme val="minor"/>
    </font>
    <font>
      <sz val="10"/>
      <color theme="1"/>
      <name val="Meiryo UI"/>
      <family val="3"/>
      <charset val="128"/>
    </font>
    <font>
      <b/>
      <sz val="10"/>
      <name val="Meiryo UI"/>
      <family val="3"/>
      <charset val="128"/>
    </font>
    <font>
      <sz val="10"/>
      <color theme="1"/>
      <name val="Microsoft YaHei"/>
      <family val="3"/>
      <charset val="134"/>
    </font>
    <font>
      <sz val="10"/>
      <name val="Meiryo UI"/>
      <family val="3"/>
      <charset val="128"/>
    </font>
    <font>
      <sz val="10"/>
      <name val="Microsoft YaHei"/>
      <family val="3"/>
      <charset val="134"/>
    </font>
    <font>
      <sz val="10"/>
      <name val="游ゴシック"/>
      <family val="3"/>
      <charset val="128"/>
    </font>
    <font>
      <u/>
      <sz val="11"/>
      <color theme="10"/>
      <name val="Aptos Narrow"/>
      <family val="2"/>
      <charset val="128"/>
      <scheme val="minor"/>
    </font>
    <font>
      <sz val="10"/>
      <color theme="0"/>
      <name val="Meiryo UI"/>
      <family val="3"/>
      <charset val="128"/>
    </font>
    <font>
      <sz val="8"/>
      <name val="Meiryo UI"/>
      <family val="3"/>
      <charset val="128"/>
    </font>
    <font>
      <sz val="8"/>
      <name val="Microsoft YaHei"/>
      <family val="3"/>
      <charset val="134"/>
    </font>
    <font>
      <sz val="9"/>
      <name val="Meiryo UI"/>
      <family val="3"/>
      <charset val="128"/>
    </font>
    <font>
      <sz val="10"/>
      <name val="ＭＳ Ｐゴシック"/>
      <family val="3"/>
      <charset val="128"/>
    </font>
    <font>
      <b/>
      <sz val="11"/>
      <color theme="0"/>
      <name val="Aptos Narrow"/>
      <family val="2"/>
      <charset val="128"/>
      <scheme val="minor"/>
    </font>
    <font>
      <sz val="11"/>
      <color theme="1"/>
      <name val="Aptos Narrow"/>
      <family val="2"/>
      <charset val="128"/>
      <scheme val="minor"/>
    </font>
    <font>
      <b/>
      <sz val="11"/>
      <color theme="1"/>
      <name val="Aptos Narrow"/>
      <family val="2"/>
      <charset val="128"/>
      <scheme val="minor"/>
    </font>
    <font>
      <sz val="11"/>
      <color theme="0"/>
      <name val="Aptos Narrow"/>
      <family val="2"/>
      <charset val="128"/>
      <scheme val="minor"/>
    </font>
    <font>
      <b/>
      <sz val="10"/>
      <color theme="0"/>
      <name val="Meiryo UI"/>
      <family val="3"/>
      <charset val="128"/>
    </font>
    <font>
      <b/>
      <sz val="14"/>
      <color theme="1"/>
      <name val="Meiryo UI"/>
      <family val="3"/>
      <charset val="128"/>
    </font>
    <font>
      <sz val="11"/>
      <color theme="1"/>
      <name val="Meiryo UI"/>
      <family val="3"/>
      <charset val="128"/>
    </font>
    <font>
      <b/>
      <sz val="11"/>
      <color theme="1"/>
      <name val="Meiryo UI"/>
      <family val="3"/>
      <charset val="128"/>
    </font>
    <font>
      <sz val="11"/>
      <color theme="0"/>
      <name val="Aptos Narrow"/>
      <family val="3"/>
      <charset val="128"/>
      <scheme val="minor"/>
    </font>
    <font>
      <sz val="11"/>
      <color theme="0"/>
      <name val="Arial"/>
      <family val="2"/>
    </font>
    <font>
      <sz val="11"/>
      <color theme="0"/>
      <name val="Meiryo UI"/>
      <family val="3"/>
      <charset val="128"/>
    </font>
    <font>
      <b/>
      <sz val="12"/>
      <color theme="1"/>
      <name val="Aptos Narrow"/>
      <family val="2"/>
      <charset val="128"/>
      <scheme val="minor"/>
    </font>
    <font>
      <b/>
      <sz val="12"/>
      <color theme="1"/>
      <name val="Meiryo UI"/>
      <family val="3"/>
      <charset val="128"/>
    </font>
    <font>
      <b/>
      <sz val="12"/>
      <color theme="1"/>
      <name val="Arial"/>
      <family val="2"/>
    </font>
    <font>
      <b/>
      <sz val="12"/>
      <color theme="1"/>
      <name val="NSimSun"/>
      <family val="3"/>
      <charset val="134"/>
    </font>
    <font>
      <b/>
      <sz val="10"/>
      <color theme="1"/>
      <name val="Yu Gothic UI"/>
      <family val="3"/>
      <charset val="128"/>
    </font>
    <font>
      <b/>
      <sz val="11"/>
      <color theme="1"/>
      <name val="Microsoft YaHei"/>
      <family val="2"/>
      <charset val="134"/>
    </font>
    <font>
      <b/>
      <sz val="11"/>
      <color theme="1"/>
      <name val="Microsoft YaHei"/>
      <family val="3"/>
      <charset val="134"/>
    </font>
    <font>
      <sz val="10"/>
      <color theme="1"/>
      <name val="Arial"/>
      <family val="2"/>
    </font>
    <font>
      <sz val="10"/>
      <color theme="1"/>
      <name val="NSimSun"/>
      <family val="3"/>
      <charset val="134"/>
    </font>
    <font>
      <b/>
      <sz val="10"/>
      <color theme="1"/>
      <name val="Meiryo UI"/>
      <family val="3"/>
      <charset val="128"/>
    </font>
    <font>
      <sz val="12"/>
      <color theme="1"/>
      <name val="Meiryo UI"/>
      <family val="3"/>
      <charset val="128"/>
    </font>
    <font>
      <sz val="12"/>
      <color theme="1"/>
      <name val="Aptos Narrow"/>
      <family val="2"/>
      <charset val="128"/>
      <scheme val="minor"/>
    </font>
    <font>
      <b/>
      <u/>
      <sz val="12"/>
      <color theme="1"/>
      <name val="Aptos Narrow"/>
      <family val="2"/>
      <charset val="128"/>
      <scheme val="minor"/>
    </font>
    <font>
      <b/>
      <sz val="10"/>
      <color theme="1"/>
      <name val="Microsoft YaHei"/>
      <family val="3"/>
      <charset val="134"/>
    </font>
    <font>
      <b/>
      <sz val="11"/>
      <name val="Microsoft YaHei"/>
      <family val="3"/>
      <charset val="134"/>
    </font>
    <font>
      <b/>
      <sz val="12"/>
      <name val="Aptos Narrow"/>
      <family val="2"/>
      <charset val="128"/>
      <scheme val="minor"/>
    </font>
    <font>
      <b/>
      <sz val="12"/>
      <name val="Meiryo UI"/>
      <family val="3"/>
      <charset val="128"/>
    </font>
    <font>
      <sz val="11"/>
      <name val="Aptos Narrow"/>
      <family val="2"/>
      <charset val="128"/>
      <scheme val="minor"/>
    </font>
    <font>
      <b/>
      <sz val="12"/>
      <name val="Arial"/>
      <family val="2"/>
    </font>
    <font>
      <b/>
      <sz val="12"/>
      <name val="Microsoft YaHei"/>
      <family val="3"/>
      <charset val="134"/>
    </font>
    <font>
      <b/>
      <sz val="11"/>
      <color theme="1"/>
      <name val="Microsoft JhengHei"/>
      <family val="2"/>
      <charset val="136"/>
    </font>
    <font>
      <sz val="10"/>
      <color theme="1"/>
      <name val="Malgun Gothic Semilight"/>
      <family val="3"/>
      <charset val="129"/>
    </font>
    <font>
      <sz val="10"/>
      <color theme="1"/>
      <name val="Microsoft JhengHei"/>
      <family val="2"/>
      <charset val="136"/>
    </font>
    <font>
      <b/>
      <sz val="11"/>
      <name val="Meiryo UI"/>
      <family val="3"/>
      <charset val="128"/>
    </font>
    <font>
      <sz val="10"/>
      <name val="Arial"/>
      <family val="2"/>
    </font>
    <font>
      <sz val="10"/>
      <name val="NSimSun"/>
      <family val="3"/>
      <charset val="134"/>
    </font>
    <font>
      <sz val="10"/>
      <name val="Microsoft JhengHei"/>
      <family val="2"/>
      <charset val="136"/>
    </font>
    <font>
      <b/>
      <sz val="12"/>
      <color theme="1"/>
      <name val="Meiryo UI"/>
      <family val="2"/>
      <charset val="134"/>
    </font>
    <font>
      <b/>
      <sz val="12"/>
      <color theme="1"/>
      <name val="Microsoft YaHei"/>
      <family val="2"/>
      <charset val="134"/>
    </font>
    <font>
      <b/>
      <sz val="10"/>
      <color theme="1"/>
      <name val="Microsoft YaHei"/>
      <family val="2"/>
      <charset val="134"/>
    </font>
    <font>
      <b/>
      <sz val="12"/>
      <name val="ＭＳ Ｐゴシック"/>
      <family val="2"/>
      <charset val="128"/>
    </font>
    <font>
      <b/>
      <sz val="12"/>
      <name val="Meiryo UI"/>
      <family val="2"/>
      <charset val="128"/>
    </font>
    <font>
      <b/>
      <sz val="12"/>
      <name val="Microsoft JhengHei"/>
      <family val="2"/>
      <charset val="136"/>
    </font>
    <font>
      <b/>
      <sz val="12"/>
      <name val="NSimSun"/>
      <family val="3"/>
      <charset val="134"/>
    </font>
    <font>
      <sz val="10"/>
      <color theme="1"/>
      <name val="Meiryo UI"/>
      <family val="3"/>
      <charset val="134"/>
    </font>
    <font>
      <sz val="10"/>
      <color rgb="FFFF0000"/>
      <name val="Meiryo UI"/>
      <family val="3"/>
      <charset val="128"/>
    </font>
    <font>
      <sz val="10"/>
      <color rgb="FFFF0000"/>
      <name val="Arial"/>
      <family val="2"/>
    </font>
    <font>
      <b/>
      <sz val="12"/>
      <color theme="1"/>
      <name val="Microsoft JhengHei"/>
      <family val="2"/>
      <charset val="136"/>
    </font>
    <font>
      <sz val="10"/>
      <name val="Aptos Narrow"/>
      <family val="2"/>
      <charset val="128"/>
      <scheme val="minor"/>
    </font>
    <font>
      <b/>
      <sz val="12"/>
      <color theme="1"/>
      <name val="Microsoft YaHei"/>
      <family val="3"/>
      <charset val="134"/>
    </font>
    <font>
      <b/>
      <sz val="10"/>
      <color theme="1"/>
      <name val="Arial"/>
      <family val="2"/>
    </font>
    <font>
      <b/>
      <sz val="12"/>
      <color rgb="FFFF0000"/>
      <name val="Meiryo UI"/>
      <family val="3"/>
      <charset val="128"/>
    </font>
    <font>
      <b/>
      <sz val="10"/>
      <color theme="1"/>
      <name val="NSimSun"/>
      <family val="3"/>
      <charset val="134"/>
    </font>
    <font>
      <b/>
      <sz val="10"/>
      <color theme="1"/>
      <name val="Microsoft JhengHei"/>
      <family val="2"/>
      <charset val="136"/>
    </font>
    <font>
      <b/>
      <sz val="12"/>
      <color theme="1"/>
      <name val="Malgun Gothic Semilight"/>
      <family val="3"/>
      <charset val="129"/>
    </font>
    <font>
      <sz val="11"/>
      <color theme="1"/>
      <name val="Aptos Narrow"/>
      <family val="3"/>
      <charset val="128"/>
      <scheme val="minor"/>
    </font>
    <font>
      <sz val="8"/>
      <color theme="1"/>
      <name val="Meiryo UI"/>
      <family val="3"/>
      <charset val="128"/>
    </font>
    <font>
      <sz val="10"/>
      <color theme="0"/>
      <name val="Microsoft YaHei"/>
      <family val="3"/>
      <charset val="134"/>
    </font>
    <font>
      <sz val="12"/>
      <color theme="1"/>
      <name val="Microsoft YaHei"/>
      <family val="3"/>
      <charset val="134"/>
    </font>
    <font>
      <sz val="12"/>
      <color theme="1"/>
      <name val="Meiryo UI"/>
      <family val="3"/>
    </font>
    <font>
      <sz val="10"/>
      <color theme="1"/>
      <name val="ＭＳ Ｐゴシック"/>
      <family val="3"/>
      <charset val="128"/>
    </font>
    <font>
      <sz val="12"/>
      <name val="Meiryo UI"/>
      <family val="3"/>
      <charset val="128"/>
    </font>
    <font>
      <sz val="8"/>
      <color theme="1"/>
      <name val="Microsoft YaHei"/>
      <family val="3"/>
      <charset val="134"/>
    </font>
    <font>
      <sz val="9"/>
      <color theme="1"/>
      <name val="Meiryo UI"/>
      <family val="3"/>
      <charset val="128"/>
    </font>
    <font>
      <sz val="9"/>
      <color theme="1"/>
      <name val="Microsoft YaHei"/>
      <family val="3"/>
      <charset val="134"/>
    </font>
    <font>
      <sz val="10"/>
      <color theme="1"/>
      <name val="Microsoft YaHei"/>
      <family val="2"/>
      <charset val="134"/>
    </font>
    <font>
      <sz val="10"/>
      <color theme="1"/>
      <name val="游ゴシック"/>
      <family val="3"/>
      <charset val="128"/>
    </font>
  </fonts>
  <fills count="23">
    <fill>
      <patternFill patternType="none"/>
    </fill>
    <fill>
      <patternFill patternType="gray125"/>
    </fill>
    <fill>
      <patternFill patternType="solid">
        <fgColor rgb="FF66CCFF"/>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CC"/>
        <bgColor indexed="64"/>
      </patternFill>
    </fill>
    <fill>
      <patternFill patternType="solid">
        <fgColor theme="6"/>
        <bgColor indexed="64"/>
      </patternFill>
    </fill>
    <fill>
      <patternFill patternType="solid">
        <fgColor theme="0" tint="-0.499984740745262"/>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4"/>
        <bgColor indexed="64"/>
      </patternFill>
    </fill>
    <fill>
      <patternFill patternType="solid">
        <fgColor rgb="FFFFE5EF"/>
        <bgColor indexed="64"/>
      </patternFill>
    </fill>
    <fill>
      <patternFill patternType="solid">
        <fgColor theme="3" tint="0.79998168889431442"/>
        <bgColor indexed="64"/>
      </patternFill>
    </fill>
    <fill>
      <patternFill patternType="solid">
        <fgColor theme="2" tint="0.79998168889431442"/>
        <bgColor indexed="64"/>
      </patternFill>
    </fill>
    <fill>
      <patternFill patternType="solid">
        <fgColor theme="4"/>
        <bgColor theme="4"/>
      </patternFill>
    </fill>
    <fill>
      <patternFill patternType="solid">
        <fgColor theme="2" tint="-0.499984740745262"/>
        <bgColor indexed="64"/>
      </patternFill>
    </fill>
    <fill>
      <patternFill patternType="solid">
        <fgColor rgb="FF002060"/>
        <bgColor indexed="64"/>
      </patternFill>
    </fill>
    <fill>
      <patternFill patternType="solid">
        <fgColor theme="2"/>
        <bgColor indexed="64"/>
      </patternFill>
    </fill>
    <fill>
      <patternFill patternType="solid">
        <fgColor theme="2" tint="-0.249977111117893"/>
        <bgColor indexed="64"/>
      </patternFill>
    </fill>
    <fill>
      <patternFill patternType="solid">
        <fgColor rgb="FFFFFF99"/>
        <bgColor indexed="64"/>
      </patternFill>
    </fill>
    <fill>
      <patternFill patternType="solid">
        <fgColor theme="6" tint="0.39997558519241921"/>
        <bgColor indexed="64"/>
      </patternFill>
    </fill>
    <fill>
      <patternFill patternType="solid">
        <fgColor rgb="FFCCFFCC"/>
        <bgColor indexed="64"/>
      </patternFill>
    </fill>
    <fill>
      <patternFill patternType="solid">
        <fgColor theme="4" tint="0.7999816888943144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thin">
        <color indexed="64"/>
      </left>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right style="thin">
        <color indexed="64"/>
      </right>
      <top/>
      <bottom style="dotted">
        <color indexed="64"/>
      </bottom>
      <diagonal/>
    </border>
    <border>
      <left/>
      <right/>
      <top style="dotted">
        <color indexed="64"/>
      </top>
      <bottom/>
      <diagonal/>
    </border>
    <border>
      <left/>
      <right style="thin">
        <color indexed="64"/>
      </right>
      <top style="dotted">
        <color indexed="64"/>
      </top>
      <bottom/>
      <diagonal/>
    </border>
    <border>
      <left style="thin">
        <color indexed="64"/>
      </left>
      <right style="thin">
        <color indexed="64"/>
      </right>
      <top/>
      <bottom/>
      <diagonal/>
    </border>
  </borders>
  <cellStyleXfs count="3">
    <xf numFmtId="0" fontId="0" fillId="0" borderId="0">
      <alignment vertical="center"/>
    </xf>
    <xf numFmtId="0" fontId="8" fillId="0" borderId="0" applyNumberFormat="0" applyFill="0" applyBorder="0" applyAlignment="0" applyProtection="0">
      <alignment vertical="center"/>
    </xf>
    <xf numFmtId="38" fontId="15" fillId="0" borderId="0" applyFont="0" applyFill="0" applyBorder="0" applyAlignment="0" applyProtection="0">
      <alignment vertical="center"/>
    </xf>
  </cellStyleXfs>
  <cellXfs count="468">
    <xf numFmtId="0" fontId="0" fillId="0" borderId="0" xfId="0">
      <alignment vertical="center"/>
    </xf>
    <xf numFmtId="0" fontId="2" fillId="0" borderId="0" xfId="0" applyFont="1" applyAlignment="1">
      <alignment horizontal="left" vertical="center"/>
    </xf>
    <xf numFmtId="0" fontId="2" fillId="0" borderId="0" xfId="0" applyFont="1" applyAlignment="1">
      <alignment horizontal="center" vertical="center"/>
    </xf>
    <xf numFmtId="0" fontId="0" fillId="0" borderId="1" xfId="0" applyBorder="1" applyAlignment="1">
      <alignment horizontal="center" vertical="center"/>
    </xf>
    <xf numFmtId="0" fontId="2" fillId="0" borderId="0" xfId="0" applyFont="1">
      <alignment vertical="center"/>
    </xf>
    <xf numFmtId="0" fontId="2" fillId="0" borderId="0" xfId="0" applyFont="1" applyAlignment="1">
      <alignment horizontal="center" vertical="top"/>
    </xf>
    <xf numFmtId="0" fontId="2" fillId="0" borderId="1" xfId="0" applyFont="1" applyBorder="1">
      <alignmen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7" borderId="1" xfId="0" applyFont="1" applyFill="1" applyBorder="1" applyAlignment="1">
      <alignment horizontal="left" vertical="center"/>
    </xf>
    <xf numFmtId="0" fontId="2" fillId="5" borderId="1" xfId="0" applyFont="1" applyFill="1" applyBorder="1" applyAlignment="1">
      <alignment horizontal="center" vertical="center"/>
    </xf>
    <xf numFmtId="1" fontId="2" fillId="0" borderId="1" xfId="0" applyNumberFormat="1" applyFont="1" applyBorder="1" applyAlignment="1">
      <alignment horizontal="center" vertical="center"/>
    </xf>
    <xf numFmtId="0" fontId="2" fillId="0" borderId="8" xfId="0" applyFont="1" applyBorder="1">
      <alignment vertical="center"/>
    </xf>
    <xf numFmtId="0" fontId="2" fillId="0" borderId="9" xfId="0" applyFont="1" applyBorder="1">
      <alignment vertical="center"/>
    </xf>
    <xf numFmtId="0" fontId="2" fillId="0" borderId="9" xfId="0" applyFont="1" applyBorder="1" applyAlignment="1">
      <alignment horizontal="center" vertical="center"/>
    </xf>
    <xf numFmtId="0" fontId="2" fillId="7" borderId="9" xfId="0" applyFont="1" applyFill="1" applyBorder="1">
      <alignment vertical="center"/>
    </xf>
    <xf numFmtId="0" fontId="2" fillId="0" borderId="9" xfId="0" applyFont="1" applyBorder="1" applyAlignment="1">
      <alignment horizontal="left" vertical="center"/>
    </xf>
    <xf numFmtId="0" fontId="2" fillId="0" borderId="10" xfId="0" applyFont="1" applyBorder="1">
      <alignment vertical="center"/>
    </xf>
    <xf numFmtId="0" fontId="3" fillId="4" borderId="6" xfId="0" applyFont="1" applyFill="1" applyBorder="1" applyAlignment="1">
      <alignment horizontal="center" vertical="top" wrapText="1"/>
    </xf>
    <xf numFmtId="0" fontId="3" fillId="4" borderId="7" xfId="0" applyFont="1" applyFill="1" applyBorder="1" applyAlignment="1">
      <alignment horizontal="center" vertical="top" wrapText="1"/>
    </xf>
    <xf numFmtId="0" fontId="3" fillId="5" borderId="6" xfId="0" applyFont="1" applyFill="1" applyBorder="1" applyAlignment="1">
      <alignment horizontal="center" vertical="top" wrapText="1"/>
    </xf>
    <xf numFmtId="0" fontId="3" fillId="5" borderId="5" xfId="0" applyFont="1" applyFill="1" applyBorder="1" applyAlignment="1">
      <alignment horizontal="center" vertical="top" wrapText="1"/>
    </xf>
    <xf numFmtId="0" fontId="0" fillId="9" borderId="11" xfId="0" applyFill="1" applyBorder="1">
      <alignment vertical="center"/>
    </xf>
    <xf numFmtId="0" fontId="0" fillId="0" borderId="11" xfId="0" applyBorder="1">
      <alignment vertical="center"/>
    </xf>
    <xf numFmtId="0" fontId="0" fillId="0" borderId="12" xfId="0" applyBorder="1">
      <alignment vertical="center"/>
    </xf>
    <xf numFmtId="0" fontId="2" fillId="0" borderId="0" xfId="0" applyFont="1" applyAlignment="1">
      <alignment horizontal="center" vertical="center" wrapText="1"/>
    </xf>
    <xf numFmtId="0" fontId="2" fillId="7" borderId="10" xfId="0" applyFont="1" applyFill="1" applyBorder="1">
      <alignment vertical="center"/>
    </xf>
    <xf numFmtId="0" fontId="2" fillId="0" borderId="0" xfId="0" applyFont="1" applyAlignment="1">
      <alignment horizontal="center" vertical="top" wrapText="1"/>
    </xf>
    <xf numFmtId="0" fontId="2" fillId="7" borderId="1" xfId="0" applyFont="1" applyFill="1" applyBorder="1" applyAlignment="1">
      <alignment horizontal="center" vertical="center"/>
    </xf>
    <xf numFmtId="0" fontId="2" fillId="6" borderId="1" xfId="0" applyFont="1" applyFill="1" applyBorder="1" applyAlignment="1">
      <alignment horizontal="center" vertical="top" wrapText="1"/>
    </xf>
    <xf numFmtId="0" fontId="5" fillId="2" borderId="6" xfId="0" applyFont="1" applyFill="1" applyBorder="1" applyAlignment="1">
      <alignment horizontal="center" vertical="top" wrapText="1"/>
    </xf>
    <xf numFmtId="0" fontId="9" fillId="6" borderId="1" xfId="0" applyFont="1" applyFill="1" applyBorder="1" applyAlignment="1">
      <alignment horizontal="center" vertical="top" wrapText="1"/>
    </xf>
    <xf numFmtId="0" fontId="2" fillId="6" borderId="2" xfId="0" applyFont="1" applyFill="1" applyBorder="1" applyAlignment="1">
      <alignment horizontal="center" vertical="top" wrapText="1"/>
    </xf>
    <xf numFmtId="0" fontId="5" fillId="2" borderId="3" xfId="0" applyFont="1" applyFill="1" applyBorder="1" applyAlignment="1">
      <alignment horizontal="center" vertical="top"/>
    </xf>
    <xf numFmtId="0" fontId="6" fillId="2" borderId="2" xfId="0" applyFont="1" applyFill="1" applyBorder="1" applyAlignment="1">
      <alignment horizontal="center" vertical="top" wrapText="1"/>
    </xf>
    <xf numFmtId="0" fontId="5" fillId="2" borderId="2" xfId="0" applyFont="1" applyFill="1" applyBorder="1" applyAlignment="1">
      <alignment horizontal="center" vertical="top" wrapText="1"/>
    </xf>
    <xf numFmtId="0" fontId="5" fillId="4" borderId="2" xfId="0" applyFont="1" applyFill="1" applyBorder="1" applyAlignment="1">
      <alignment horizontal="center" vertical="top" wrapText="1"/>
    </xf>
    <xf numFmtId="0" fontId="5" fillId="4" borderId="1" xfId="0" applyFont="1" applyFill="1" applyBorder="1" applyAlignment="1">
      <alignment horizontal="center" vertical="top" wrapText="1"/>
    </xf>
    <xf numFmtId="0" fontId="5" fillId="3" borderId="2" xfId="0" applyFont="1" applyFill="1" applyBorder="1" applyAlignment="1">
      <alignment horizontal="center" vertical="top" wrapText="1"/>
    </xf>
    <xf numFmtId="0" fontId="5" fillId="3" borderId="1" xfId="0" applyFont="1" applyFill="1" applyBorder="1" applyAlignment="1">
      <alignment horizontal="center" vertical="top" wrapText="1"/>
    </xf>
    <xf numFmtId="0" fontId="9" fillId="6" borderId="2" xfId="0" applyFont="1" applyFill="1" applyBorder="1" applyAlignment="1">
      <alignment horizontal="center" vertical="top" wrapText="1"/>
    </xf>
    <xf numFmtId="0" fontId="5" fillId="2" borderId="4" xfId="0" applyFont="1" applyFill="1" applyBorder="1" applyAlignment="1">
      <alignment horizontal="center" vertical="top" wrapText="1"/>
    </xf>
    <xf numFmtId="0" fontId="5" fillId="2" borderId="1" xfId="0" applyFont="1" applyFill="1" applyBorder="1" applyAlignment="1">
      <alignment horizontal="center" vertical="top" wrapText="1"/>
    </xf>
    <xf numFmtId="0" fontId="5" fillId="2" borderId="7" xfId="0" applyFont="1" applyFill="1" applyBorder="1" applyAlignment="1">
      <alignment horizontal="center" vertical="top" wrapText="1"/>
    </xf>
    <xf numFmtId="0" fontId="2" fillId="0" borderId="10" xfId="0" applyFont="1" applyBorder="1" applyAlignment="1">
      <alignment vertical="center" wrapText="1"/>
    </xf>
    <xf numFmtId="0" fontId="0" fillId="0" borderId="0" xfId="0" applyAlignment="1">
      <alignment horizontal="center" vertical="center"/>
    </xf>
    <xf numFmtId="0" fontId="8" fillId="0" borderId="1" xfId="1" applyBorder="1" applyAlignment="1">
      <alignment horizontal="center" vertical="center"/>
    </xf>
    <xf numFmtId="0" fontId="6" fillId="2" borderId="3" xfId="0" applyFont="1" applyFill="1" applyBorder="1" applyAlignment="1">
      <alignment horizontal="center" vertical="top" wrapText="1"/>
    </xf>
    <xf numFmtId="0" fontId="6" fillId="2" borderId="1" xfId="0" applyFont="1" applyFill="1" applyBorder="1" applyAlignment="1">
      <alignment horizontal="center" vertical="top" wrapText="1"/>
    </xf>
    <xf numFmtId="0" fontId="13" fillId="2" borderId="3" xfId="0" applyFont="1" applyFill="1" applyBorder="1" applyAlignment="1">
      <alignment horizontal="center" vertical="top" wrapText="1"/>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9" fillId="6" borderId="7"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4" fillId="14" borderId="13" xfId="0" applyFont="1" applyFill="1" applyBorder="1">
      <alignment vertical="center"/>
    </xf>
    <xf numFmtId="0" fontId="2" fillId="15" borderId="1" xfId="0" applyFont="1" applyFill="1" applyBorder="1" applyAlignment="1">
      <alignment horizontal="center" vertical="center"/>
    </xf>
    <xf numFmtId="0" fontId="2" fillId="15" borderId="9" xfId="0" applyFont="1" applyFill="1" applyBorder="1">
      <alignment vertical="center"/>
    </xf>
    <xf numFmtId="0" fontId="0" fillId="5" borderId="1" xfId="0" applyFill="1" applyBorder="1" applyAlignment="1">
      <alignment horizontal="center" vertical="center"/>
    </xf>
    <xf numFmtId="0" fontId="19" fillId="0" borderId="0" xfId="0" applyFont="1">
      <alignment vertical="center"/>
    </xf>
    <xf numFmtId="0" fontId="16" fillId="0" borderId="0" xfId="0" applyFont="1">
      <alignment vertical="center"/>
    </xf>
    <xf numFmtId="0" fontId="0" fillId="0" borderId="0" xfId="0" applyAlignment="1">
      <alignment vertical="center" wrapText="1"/>
    </xf>
    <xf numFmtId="0" fontId="20" fillId="0" borderId="0" xfId="0" applyFont="1">
      <alignment vertical="center"/>
    </xf>
    <xf numFmtId="0" fontId="20" fillId="0" borderId="0" xfId="0" applyFont="1" applyAlignment="1">
      <alignment vertical="center" wrapText="1"/>
    </xf>
    <xf numFmtId="0" fontId="21" fillId="0" borderId="0" xfId="0" applyFont="1">
      <alignment vertical="center"/>
    </xf>
    <xf numFmtId="0" fontId="18" fillId="16" borderId="15" xfId="0" applyFont="1" applyFill="1" applyBorder="1" applyAlignment="1">
      <alignment vertical="center" wrapText="1"/>
    </xf>
    <xf numFmtId="0" fontId="14" fillId="16" borderId="0" xfId="0" applyFont="1" applyFill="1">
      <alignment vertical="center"/>
    </xf>
    <xf numFmtId="0" fontId="21" fillId="2" borderId="2" xfId="0" applyFont="1" applyFill="1" applyBorder="1" applyAlignment="1">
      <alignment vertical="center" wrapText="1"/>
    </xf>
    <xf numFmtId="0" fontId="25" fillId="4" borderId="4" xfId="0" applyFont="1" applyFill="1" applyBorder="1" applyAlignment="1">
      <alignment horizontal="center" vertical="center"/>
    </xf>
    <xf numFmtId="0" fontId="29" fillId="0" borderId="0" xfId="0" applyFont="1">
      <alignment vertical="center"/>
    </xf>
    <xf numFmtId="0" fontId="25" fillId="8" borderId="18" xfId="0" applyFont="1" applyFill="1" applyBorder="1" applyAlignment="1">
      <alignment horizontal="center" vertical="center"/>
    </xf>
    <xf numFmtId="0" fontId="21" fillId="8" borderId="20" xfId="0" applyFont="1" applyFill="1" applyBorder="1" applyAlignment="1">
      <alignment horizontal="center" vertical="center" wrapText="1"/>
    </xf>
    <xf numFmtId="0" fontId="2" fillId="8" borderId="19" xfId="0" applyFont="1" applyFill="1" applyBorder="1" applyAlignment="1">
      <alignment vertical="center" wrapText="1"/>
    </xf>
    <xf numFmtId="0" fontId="2" fillId="8" borderId="20" xfId="0" applyFont="1" applyFill="1" applyBorder="1" applyAlignment="1">
      <alignment vertical="center" wrapText="1"/>
    </xf>
    <xf numFmtId="0" fontId="32" fillId="17" borderId="21" xfId="0" applyFont="1" applyFill="1" applyBorder="1">
      <alignment vertical="center"/>
    </xf>
    <xf numFmtId="0" fontId="32" fillId="17" borderId="20" xfId="0" applyFont="1" applyFill="1" applyBorder="1" applyAlignment="1">
      <alignment vertical="center" wrapText="1"/>
    </xf>
    <xf numFmtId="0" fontId="2" fillId="17" borderId="19" xfId="0" applyFont="1" applyFill="1" applyBorder="1">
      <alignment vertical="center"/>
    </xf>
    <xf numFmtId="0" fontId="34" fillId="17" borderId="20" xfId="0" applyFont="1" applyFill="1" applyBorder="1" applyAlignment="1">
      <alignment vertical="center" wrapText="1"/>
    </xf>
    <xf numFmtId="38" fontId="2" fillId="8" borderId="20" xfId="2" applyFont="1" applyFill="1" applyBorder="1" applyAlignment="1">
      <alignment vertical="center" wrapText="1"/>
    </xf>
    <xf numFmtId="38" fontId="32" fillId="17" borderId="20" xfId="2" applyFont="1" applyFill="1" applyBorder="1" applyAlignment="1">
      <alignment vertical="center" wrapText="1"/>
    </xf>
    <xf numFmtId="38" fontId="34" fillId="17" borderId="20" xfId="2" applyFont="1" applyFill="1" applyBorder="1" applyAlignment="1">
      <alignment vertical="center" wrapText="1"/>
    </xf>
    <xf numFmtId="0" fontId="21" fillId="8" borderId="23" xfId="0" applyFont="1" applyFill="1" applyBorder="1" applyAlignment="1">
      <alignment horizontal="center" vertical="center" wrapText="1"/>
    </xf>
    <xf numFmtId="0" fontId="2" fillId="8" borderId="22" xfId="0" applyFont="1" applyFill="1" applyBorder="1" applyAlignment="1">
      <alignment vertical="center" wrapText="1"/>
    </xf>
    <xf numFmtId="0" fontId="2" fillId="8" borderId="23" xfId="0" applyFont="1" applyFill="1" applyBorder="1" applyAlignment="1">
      <alignment vertical="center" wrapText="1"/>
    </xf>
    <xf numFmtId="0" fontId="32" fillId="17" borderId="24" xfId="0" applyFont="1" applyFill="1" applyBorder="1">
      <alignment vertical="center"/>
    </xf>
    <xf numFmtId="0" fontId="32" fillId="17" borderId="23" xfId="0" applyFont="1" applyFill="1" applyBorder="1" applyAlignment="1">
      <alignment vertical="center" wrapText="1"/>
    </xf>
    <xf numFmtId="0" fontId="2" fillId="17" borderId="22" xfId="0" applyFont="1" applyFill="1" applyBorder="1">
      <alignment vertical="center"/>
    </xf>
    <xf numFmtId="0" fontId="34" fillId="17" borderId="23" xfId="0" applyFont="1" applyFill="1" applyBorder="1" applyAlignment="1">
      <alignment vertical="center" wrapText="1"/>
    </xf>
    <xf numFmtId="0" fontId="34" fillId="0" borderId="0" xfId="0" applyFont="1" applyAlignment="1">
      <alignment horizontal="left" vertical="center"/>
    </xf>
    <xf numFmtId="0" fontId="25" fillId="4" borderId="18" xfId="0" applyFont="1" applyFill="1" applyBorder="1" applyAlignment="1">
      <alignment horizontal="center" vertical="center"/>
    </xf>
    <xf numFmtId="0" fontId="35" fillId="0" borderId="0" xfId="0" applyFont="1">
      <alignment vertical="center"/>
    </xf>
    <xf numFmtId="0" fontId="26" fillId="0" borderId="0" xfId="0" applyFont="1" applyAlignment="1">
      <alignment horizontal="left" vertical="center"/>
    </xf>
    <xf numFmtId="0" fontId="35" fillId="0" borderId="0" xfId="0" applyFont="1" applyAlignment="1">
      <alignment horizontal="left" vertical="center"/>
    </xf>
    <xf numFmtId="0" fontId="36" fillId="0" borderId="0" xfId="0" applyFont="1">
      <alignment vertical="center"/>
    </xf>
    <xf numFmtId="0" fontId="2" fillId="8" borderId="19" xfId="0" applyFont="1" applyFill="1" applyBorder="1">
      <alignment vertical="center"/>
    </xf>
    <xf numFmtId="38" fontId="2" fillId="0" borderId="0" xfId="2" applyFont="1" applyAlignment="1">
      <alignment horizontal="left" vertical="center"/>
    </xf>
    <xf numFmtId="38" fontId="0" fillId="0" borderId="0" xfId="2" applyFont="1">
      <alignment vertical="center"/>
    </xf>
    <xf numFmtId="0" fontId="2" fillId="8" borderId="22" xfId="0" applyFont="1" applyFill="1" applyBorder="1">
      <alignment vertical="center"/>
    </xf>
    <xf numFmtId="0" fontId="2" fillId="2" borderId="6" xfId="0" applyFont="1" applyFill="1" applyBorder="1" applyAlignment="1">
      <alignment horizontal="center" vertical="center" wrapText="1"/>
    </xf>
    <xf numFmtId="0" fontId="21" fillId="4" borderId="25" xfId="0" applyFont="1" applyFill="1" applyBorder="1" applyAlignment="1">
      <alignment horizontal="center" vertical="center" wrapText="1"/>
    </xf>
    <xf numFmtId="0" fontId="32" fillId="17" borderId="0" xfId="0" applyFont="1" applyFill="1">
      <alignment vertical="center"/>
    </xf>
    <xf numFmtId="0" fontId="32" fillId="17" borderId="25" xfId="0" applyFont="1" applyFill="1" applyBorder="1" applyAlignment="1">
      <alignment vertical="center" wrapText="1"/>
    </xf>
    <xf numFmtId="0" fontId="2" fillId="17" borderId="15" xfId="0" applyFont="1" applyFill="1" applyBorder="1">
      <alignment vertical="center"/>
    </xf>
    <xf numFmtId="0" fontId="34" fillId="17" borderId="25" xfId="0" applyFont="1" applyFill="1" applyBorder="1" applyAlignment="1">
      <alignment vertical="center" wrapText="1"/>
    </xf>
    <xf numFmtId="0" fontId="20" fillId="8" borderId="20" xfId="0" applyFont="1" applyFill="1" applyBorder="1" applyAlignment="1">
      <alignment horizontal="center" vertical="center" wrapText="1"/>
    </xf>
    <xf numFmtId="0" fontId="20" fillId="8" borderId="23" xfId="0" applyFont="1" applyFill="1" applyBorder="1" applyAlignment="1">
      <alignment horizontal="center" vertical="center" wrapText="1"/>
    </xf>
    <xf numFmtId="0" fontId="21" fillId="18" borderId="2" xfId="0" applyFont="1" applyFill="1" applyBorder="1" applyAlignment="1">
      <alignment vertical="center" wrapText="1"/>
    </xf>
    <xf numFmtId="0" fontId="37" fillId="8" borderId="4" xfId="0" applyFont="1" applyFill="1" applyBorder="1" applyAlignment="1">
      <alignment horizontal="center" vertical="center"/>
    </xf>
    <xf numFmtId="0" fontId="34" fillId="2" borderId="2" xfId="0" applyFont="1" applyFill="1" applyBorder="1" applyAlignment="1">
      <alignment horizontal="left" vertical="top" wrapText="1"/>
    </xf>
    <xf numFmtId="0" fontId="2" fillId="0" borderId="0" xfId="0" applyFont="1" applyAlignment="1">
      <alignment vertical="top"/>
    </xf>
    <xf numFmtId="0" fontId="34" fillId="2" borderId="6" xfId="0" applyFont="1" applyFill="1" applyBorder="1" applyAlignment="1">
      <alignment horizontal="left" vertical="center" wrapText="1"/>
    </xf>
    <xf numFmtId="0" fontId="27" fillId="17" borderId="2" xfId="0" applyFont="1" applyFill="1" applyBorder="1" applyAlignment="1">
      <alignment vertical="center" wrapText="1"/>
    </xf>
    <xf numFmtId="0" fontId="0" fillId="17" borderId="4" xfId="0" applyFill="1" applyBorder="1" applyAlignment="1">
      <alignment vertical="center" wrapText="1"/>
    </xf>
    <xf numFmtId="0" fontId="26" fillId="17" borderId="2" xfId="0" applyFont="1" applyFill="1" applyBorder="1" applyAlignment="1">
      <alignment vertical="center" wrapText="1"/>
    </xf>
    <xf numFmtId="0" fontId="39" fillId="2" borderId="2" xfId="0" applyFont="1" applyFill="1" applyBorder="1" applyAlignment="1">
      <alignment vertical="center" wrapText="1"/>
    </xf>
    <xf numFmtId="0" fontId="40" fillId="8" borderId="4" xfId="0" applyFont="1" applyFill="1" applyBorder="1" applyAlignment="1">
      <alignment horizontal="center" vertical="center"/>
    </xf>
    <xf numFmtId="0" fontId="5" fillId="0" borderId="0" xfId="0" applyFont="1">
      <alignment vertical="center"/>
    </xf>
    <xf numFmtId="0" fontId="21" fillId="8" borderId="20" xfId="0" applyFont="1" applyFill="1" applyBorder="1" applyAlignment="1">
      <alignment horizontal="center" vertical="center"/>
    </xf>
    <xf numFmtId="0" fontId="5" fillId="8" borderId="19" xfId="0" applyFont="1" applyFill="1" applyBorder="1">
      <alignment vertical="center"/>
    </xf>
    <xf numFmtId="0" fontId="21" fillId="8" borderId="23" xfId="0" applyFont="1" applyFill="1" applyBorder="1" applyAlignment="1">
      <alignment horizontal="center" vertical="center"/>
    </xf>
    <xf numFmtId="0" fontId="5" fillId="8" borderId="22" xfId="0" applyFont="1" applyFill="1" applyBorder="1">
      <alignment vertical="center"/>
    </xf>
    <xf numFmtId="0" fontId="48" fillId="8" borderId="23" xfId="0" applyFont="1" applyFill="1" applyBorder="1" applyAlignment="1">
      <alignment horizontal="center" vertical="center"/>
    </xf>
    <xf numFmtId="0" fontId="5" fillId="8" borderId="23" xfId="0" applyFont="1" applyFill="1" applyBorder="1" applyAlignment="1">
      <alignment vertical="center" wrapText="1"/>
    </xf>
    <xf numFmtId="0" fontId="49" fillId="17" borderId="24" xfId="0" applyFont="1" applyFill="1" applyBorder="1">
      <alignment vertical="center"/>
    </xf>
    <xf numFmtId="0" fontId="49" fillId="17" borderId="23" xfId="0" applyFont="1" applyFill="1" applyBorder="1" applyAlignment="1">
      <alignment vertical="center" wrapText="1"/>
    </xf>
    <xf numFmtId="0" fontId="5" fillId="17" borderId="22" xfId="0" applyFont="1" applyFill="1" applyBorder="1">
      <alignment vertical="center"/>
    </xf>
    <xf numFmtId="0" fontId="4" fillId="2" borderId="6" xfId="0" applyFont="1" applyFill="1" applyBorder="1" applyAlignment="1">
      <alignment horizontal="left" vertical="center" wrapText="1"/>
    </xf>
    <xf numFmtId="0" fontId="49" fillId="17" borderId="5" xfId="0" applyFont="1" applyFill="1" applyBorder="1">
      <alignment vertical="center"/>
    </xf>
    <xf numFmtId="0" fontId="49" fillId="17" borderId="16" xfId="0" applyFont="1" applyFill="1" applyBorder="1" applyAlignment="1">
      <alignment vertical="center" wrapText="1"/>
    </xf>
    <xf numFmtId="0" fontId="5" fillId="17" borderId="6" xfId="0" applyFont="1" applyFill="1" applyBorder="1">
      <alignment vertical="center"/>
    </xf>
    <xf numFmtId="0" fontId="34" fillId="17" borderId="16" xfId="0" applyFont="1" applyFill="1" applyBorder="1" applyAlignment="1">
      <alignment vertical="center" wrapText="1"/>
    </xf>
    <xf numFmtId="0" fontId="26" fillId="8" borderId="17" xfId="0" applyFont="1" applyFill="1" applyBorder="1" applyAlignment="1">
      <alignment vertical="center" wrapText="1"/>
    </xf>
    <xf numFmtId="0" fontId="26" fillId="8" borderId="18" xfId="0" applyFont="1" applyFill="1" applyBorder="1" applyAlignment="1">
      <alignment horizontal="center" vertical="center" wrapText="1"/>
    </xf>
    <xf numFmtId="0" fontId="27" fillId="17" borderId="17" xfId="0" applyFont="1" applyFill="1" applyBorder="1" applyAlignment="1">
      <alignment vertical="center" wrapText="1"/>
    </xf>
    <xf numFmtId="0" fontId="27" fillId="17" borderId="18" xfId="0" applyFont="1" applyFill="1" applyBorder="1" applyAlignment="1">
      <alignment vertical="center" wrapText="1"/>
    </xf>
    <xf numFmtId="0" fontId="26" fillId="17" borderId="17" xfId="0" applyFont="1" applyFill="1" applyBorder="1" applyAlignment="1">
      <alignment vertical="center" wrapText="1"/>
    </xf>
    <xf numFmtId="0" fontId="26" fillId="17" borderId="27" xfId="0" applyFont="1" applyFill="1" applyBorder="1" applyAlignment="1">
      <alignment vertical="center" wrapText="1"/>
    </xf>
    <xf numFmtId="0" fontId="32" fillId="17" borderId="28" xfId="0" applyFont="1" applyFill="1" applyBorder="1" applyAlignment="1">
      <alignment vertical="center" wrapText="1"/>
    </xf>
    <xf numFmtId="0" fontId="2" fillId="17" borderId="28" xfId="0" applyFont="1" applyFill="1" applyBorder="1" applyAlignment="1">
      <alignment vertical="center" wrapText="1"/>
    </xf>
    <xf numFmtId="0" fontId="32" fillId="17" borderId="29" xfId="0" applyFont="1" applyFill="1" applyBorder="1">
      <alignment vertical="center"/>
    </xf>
    <xf numFmtId="0" fontId="32" fillId="17" borderId="29" xfId="0" applyFont="1" applyFill="1" applyBorder="1" applyAlignment="1">
      <alignment vertical="center" wrapText="1"/>
    </xf>
    <xf numFmtId="0" fontId="2" fillId="17" borderId="29" xfId="0" applyFont="1" applyFill="1" applyBorder="1">
      <alignment vertical="center"/>
    </xf>
    <xf numFmtId="0" fontId="2" fillId="17" borderId="29" xfId="0" applyFont="1" applyFill="1" applyBorder="1" applyAlignment="1">
      <alignment vertical="center" wrapText="1"/>
    </xf>
    <xf numFmtId="0" fontId="25" fillId="8" borderId="4" xfId="0" applyFont="1" applyFill="1" applyBorder="1" applyAlignment="1">
      <alignment horizontal="center" vertical="center"/>
    </xf>
    <xf numFmtId="0" fontId="2" fillId="0" borderId="0" xfId="0" applyFont="1" applyAlignment="1">
      <alignment vertical="center" wrapText="1"/>
    </xf>
    <xf numFmtId="0" fontId="26" fillId="8" borderId="18" xfId="0" applyFont="1" applyFill="1" applyBorder="1" applyAlignment="1">
      <alignment horizontal="center" vertical="center"/>
    </xf>
    <xf numFmtId="0" fontId="26" fillId="8" borderId="17" xfId="0" applyFont="1" applyFill="1" applyBorder="1">
      <alignment vertical="center"/>
    </xf>
    <xf numFmtId="0" fontId="26" fillId="8" borderId="18" xfId="0" applyFont="1" applyFill="1" applyBorder="1" applyAlignment="1">
      <alignment vertical="center" wrapText="1"/>
    </xf>
    <xf numFmtId="0" fontId="27" fillId="17" borderId="27" xfId="0" applyFont="1" applyFill="1" applyBorder="1">
      <alignment vertical="center"/>
    </xf>
    <xf numFmtId="0" fontId="27" fillId="17" borderId="27" xfId="0" applyFont="1" applyFill="1" applyBorder="1" applyAlignment="1">
      <alignment vertical="center" wrapText="1"/>
    </xf>
    <xf numFmtId="0" fontId="26" fillId="17" borderId="27" xfId="0" applyFont="1" applyFill="1" applyBorder="1">
      <alignment vertical="center"/>
    </xf>
    <xf numFmtId="0" fontId="32" fillId="17" borderId="28" xfId="0" applyFont="1" applyFill="1" applyBorder="1">
      <alignment vertical="center"/>
    </xf>
    <xf numFmtId="0" fontId="2" fillId="17" borderId="28" xfId="0" applyFont="1" applyFill="1" applyBorder="1">
      <alignment vertical="center"/>
    </xf>
    <xf numFmtId="0" fontId="2" fillId="0" borderId="30" xfId="0" applyFont="1" applyBorder="1">
      <alignment vertical="center"/>
    </xf>
    <xf numFmtId="0" fontId="49" fillId="17" borderId="29" xfId="0" applyFont="1" applyFill="1" applyBorder="1">
      <alignment vertical="center"/>
    </xf>
    <xf numFmtId="0" fontId="49" fillId="17" borderId="29" xfId="0" applyFont="1" applyFill="1" applyBorder="1" applyAlignment="1">
      <alignment vertical="center" wrapText="1"/>
    </xf>
    <xf numFmtId="0" fontId="5" fillId="17" borderId="29" xfId="0" applyFont="1" applyFill="1" applyBorder="1">
      <alignment vertical="center"/>
    </xf>
    <xf numFmtId="0" fontId="5" fillId="17" borderId="29" xfId="0" applyFont="1" applyFill="1" applyBorder="1" applyAlignment="1">
      <alignment vertical="center" wrapText="1"/>
    </xf>
    <xf numFmtId="0" fontId="54" fillId="2" borderId="10" xfId="0" applyFont="1" applyFill="1" applyBorder="1" applyAlignment="1">
      <alignment horizontal="left" vertical="top" wrapText="1"/>
    </xf>
    <xf numFmtId="0" fontId="48" fillId="8" borderId="16" xfId="0" applyFont="1" applyFill="1" applyBorder="1" applyAlignment="1">
      <alignment horizontal="center" vertical="center"/>
    </xf>
    <xf numFmtId="0" fontId="49" fillId="17" borderId="1" xfId="0" applyFont="1" applyFill="1" applyBorder="1">
      <alignment vertical="center"/>
    </xf>
    <xf numFmtId="0" fontId="5" fillId="17" borderId="1" xfId="0" applyFont="1" applyFill="1" applyBorder="1">
      <alignment vertical="center"/>
    </xf>
    <xf numFmtId="0" fontId="5" fillId="17" borderId="1" xfId="0" applyFont="1" applyFill="1" applyBorder="1" applyAlignment="1">
      <alignment vertical="center" wrapText="1"/>
    </xf>
    <xf numFmtId="0" fontId="26" fillId="8" borderId="27" xfId="0" applyFont="1" applyFill="1" applyBorder="1" applyAlignment="1">
      <alignment vertical="center" wrapText="1"/>
    </xf>
    <xf numFmtId="0" fontId="27" fillId="17" borderId="17" xfId="0" applyFont="1" applyFill="1" applyBorder="1">
      <alignment vertical="center"/>
    </xf>
    <xf numFmtId="0" fontId="26" fillId="17" borderId="17" xfId="0" applyFont="1" applyFill="1" applyBorder="1">
      <alignment vertical="center"/>
    </xf>
    <xf numFmtId="0" fontId="26" fillId="17" borderId="18" xfId="0" applyFont="1" applyFill="1" applyBorder="1" applyAlignment="1">
      <alignment vertical="center" wrapText="1"/>
    </xf>
    <xf numFmtId="0" fontId="48" fillId="8" borderId="20" xfId="0" applyFont="1" applyFill="1" applyBorder="1" applyAlignment="1">
      <alignment horizontal="center" vertical="center"/>
    </xf>
    <xf numFmtId="0" fontId="5" fillId="8" borderId="28" xfId="0" applyFont="1" applyFill="1" applyBorder="1" applyAlignment="1">
      <alignment vertical="center" wrapText="1"/>
    </xf>
    <xf numFmtId="0" fontId="2" fillId="8" borderId="28" xfId="0" applyFont="1" applyFill="1" applyBorder="1" applyAlignment="1">
      <alignment vertical="center" wrapText="1"/>
    </xf>
    <xf numFmtId="0" fontId="49" fillId="17" borderId="28" xfId="0" applyFont="1" applyFill="1" applyBorder="1" applyAlignment="1">
      <alignment vertical="center" wrapText="1"/>
    </xf>
    <xf numFmtId="0" fontId="5" fillId="17" borderId="28" xfId="0" applyFont="1" applyFill="1" applyBorder="1" applyAlignment="1">
      <alignment vertical="center" wrapText="1"/>
    </xf>
    <xf numFmtId="0" fontId="59" fillId="17" borderId="28" xfId="0" applyFont="1" applyFill="1" applyBorder="1" applyAlignment="1">
      <alignment vertical="center" wrapText="1"/>
    </xf>
    <xf numFmtId="0" fontId="5" fillId="8" borderId="29" xfId="0" applyFont="1" applyFill="1" applyBorder="1" applyAlignment="1">
      <alignment vertical="center" wrapText="1"/>
    </xf>
    <xf numFmtId="0" fontId="2" fillId="8" borderId="29" xfId="0" quotePrefix="1" applyFont="1" applyFill="1" applyBorder="1" applyAlignment="1">
      <alignment vertical="center" wrapText="1"/>
    </xf>
    <xf numFmtId="0" fontId="32" fillId="17" borderId="29" xfId="0" quotePrefix="1" applyFont="1" applyFill="1" applyBorder="1" applyAlignment="1">
      <alignment vertical="center" wrapText="1"/>
    </xf>
    <xf numFmtId="0" fontId="2" fillId="17" borderId="29" xfId="0" quotePrefix="1" applyFont="1" applyFill="1" applyBorder="1" applyAlignment="1">
      <alignment vertical="center" wrapText="1"/>
    </xf>
    <xf numFmtId="0" fontId="16" fillId="8" borderId="18" xfId="0" applyFont="1" applyFill="1" applyBorder="1" applyAlignment="1">
      <alignment horizontal="center" vertical="center"/>
    </xf>
    <xf numFmtId="0" fontId="21" fillId="4" borderId="2" xfId="0" applyFont="1" applyFill="1" applyBorder="1" applyAlignment="1">
      <alignment vertical="center" wrapText="1"/>
    </xf>
    <xf numFmtId="0" fontId="16" fillId="8" borderId="4" xfId="0" applyFont="1" applyFill="1" applyBorder="1" applyAlignment="1">
      <alignment horizontal="center" vertical="center"/>
    </xf>
    <xf numFmtId="0" fontId="26" fillId="8" borderId="3" xfId="0" applyFont="1" applyFill="1" applyBorder="1" applyAlignment="1">
      <alignment vertical="center" wrapText="1"/>
    </xf>
    <xf numFmtId="0" fontId="2" fillId="8" borderId="4" xfId="0" applyFont="1" applyFill="1" applyBorder="1" applyAlignment="1">
      <alignment vertical="center" wrapText="1"/>
    </xf>
    <xf numFmtId="0" fontId="32" fillId="17" borderId="4" xfId="0" applyFont="1" applyFill="1" applyBorder="1" applyAlignment="1">
      <alignment vertical="center" wrapText="1"/>
    </xf>
    <xf numFmtId="0" fontId="2" fillId="17" borderId="4" xfId="0" applyFont="1" applyFill="1" applyBorder="1" applyAlignment="1">
      <alignment vertical="center" wrapText="1"/>
    </xf>
    <xf numFmtId="0" fontId="32" fillId="17" borderId="19" xfId="0" applyFont="1" applyFill="1" applyBorder="1">
      <alignment vertical="center"/>
    </xf>
    <xf numFmtId="0" fontId="49" fillId="17" borderId="20" xfId="0" applyFont="1" applyFill="1" applyBorder="1" applyAlignment="1">
      <alignment vertical="center" wrapText="1"/>
    </xf>
    <xf numFmtId="0" fontId="3" fillId="17" borderId="20" xfId="0" applyFont="1" applyFill="1" applyBorder="1" applyAlignment="1">
      <alignment vertical="center" wrapText="1"/>
    </xf>
    <xf numFmtId="0" fontId="32" fillId="17" borderId="22" xfId="0" applyFont="1" applyFill="1" applyBorder="1">
      <alignment vertical="center"/>
    </xf>
    <xf numFmtId="0" fontId="3" fillId="17" borderId="23" xfId="0" applyFont="1" applyFill="1" applyBorder="1" applyAlignment="1">
      <alignment vertical="center" wrapText="1"/>
    </xf>
    <xf numFmtId="0" fontId="60" fillId="8" borderId="20" xfId="0" applyFont="1" applyFill="1" applyBorder="1" applyAlignment="1">
      <alignment vertical="center" wrapText="1"/>
    </xf>
    <xf numFmtId="0" fontId="61" fillId="17" borderId="20" xfId="0" applyFont="1" applyFill="1" applyBorder="1" applyAlignment="1">
      <alignment vertical="center" wrapText="1"/>
    </xf>
    <xf numFmtId="0" fontId="60" fillId="17" borderId="20" xfId="0" applyFont="1" applyFill="1" applyBorder="1" applyAlignment="1">
      <alignment vertical="center" wrapText="1"/>
    </xf>
    <xf numFmtId="0" fontId="60" fillId="8" borderId="23" xfId="0" applyFont="1" applyFill="1" applyBorder="1" applyAlignment="1">
      <alignment vertical="center" wrapText="1"/>
    </xf>
    <xf numFmtId="0" fontId="61" fillId="17" borderId="23" xfId="0" applyFont="1" applyFill="1" applyBorder="1" applyAlignment="1">
      <alignment vertical="center" wrapText="1"/>
    </xf>
    <xf numFmtId="0" fontId="60" fillId="17" borderId="23" xfId="0" applyFont="1" applyFill="1" applyBorder="1" applyAlignment="1">
      <alignment vertical="center" wrapText="1"/>
    </xf>
    <xf numFmtId="0" fontId="21" fillId="3" borderId="10" xfId="0" applyFont="1" applyFill="1" applyBorder="1" applyAlignment="1">
      <alignment vertical="center" wrapText="1"/>
    </xf>
    <xf numFmtId="0" fontId="16" fillId="8" borderId="8" xfId="0" applyFont="1" applyFill="1" applyBorder="1" applyAlignment="1">
      <alignment horizontal="center" vertical="center"/>
    </xf>
    <xf numFmtId="0" fontId="41" fillId="8" borderId="0" xfId="0" applyFont="1" applyFill="1">
      <alignment vertical="center"/>
    </xf>
    <xf numFmtId="0" fontId="2" fillId="8" borderId="25" xfId="0" applyFont="1" applyFill="1" applyBorder="1" applyAlignment="1">
      <alignment vertical="center" wrapText="1"/>
    </xf>
    <xf numFmtId="0" fontId="27" fillId="17" borderId="10" xfId="0" applyFont="1" applyFill="1" applyBorder="1">
      <alignment vertical="center"/>
    </xf>
    <xf numFmtId="0" fontId="32" fillId="17" borderId="8" xfId="0" applyFont="1" applyFill="1" applyBorder="1" applyAlignment="1">
      <alignment vertical="center" wrapText="1"/>
    </xf>
    <xf numFmtId="0" fontId="26" fillId="17" borderId="10" xfId="0" applyFont="1" applyFill="1" applyBorder="1">
      <alignment vertical="center"/>
    </xf>
    <xf numFmtId="0" fontId="2" fillId="17" borderId="8" xfId="0" applyFont="1" applyFill="1" applyBorder="1" applyAlignment="1">
      <alignment vertical="center" wrapText="1"/>
    </xf>
    <xf numFmtId="0" fontId="41" fillId="8" borderId="14" xfId="0" applyFont="1" applyFill="1" applyBorder="1">
      <alignment vertical="center"/>
    </xf>
    <xf numFmtId="0" fontId="2" fillId="8" borderId="8" xfId="0" applyFont="1" applyFill="1" applyBorder="1" applyAlignment="1">
      <alignment vertical="center" wrapText="1"/>
    </xf>
    <xf numFmtId="0" fontId="16" fillId="8" borderId="16" xfId="0" applyFont="1" applyFill="1" applyBorder="1" applyAlignment="1">
      <alignment horizontal="center" vertical="center"/>
    </xf>
    <xf numFmtId="0" fontId="2" fillId="8" borderId="6" xfId="0" applyFont="1" applyFill="1" applyBorder="1">
      <alignment vertical="center"/>
    </xf>
    <xf numFmtId="0" fontId="2" fillId="8" borderId="16" xfId="0" applyFont="1" applyFill="1" applyBorder="1" applyAlignment="1">
      <alignment vertical="center" wrapText="1"/>
    </xf>
    <xf numFmtId="0" fontId="32" fillId="17" borderId="6" xfId="0" applyFont="1" applyFill="1" applyBorder="1">
      <alignment vertical="center"/>
    </xf>
    <xf numFmtId="0" fontId="32" fillId="17" borderId="16" xfId="0" applyFont="1" applyFill="1" applyBorder="1" applyAlignment="1">
      <alignment vertical="center" wrapText="1"/>
    </xf>
    <xf numFmtId="0" fontId="2" fillId="17" borderId="6" xfId="0" applyFont="1" applyFill="1" applyBorder="1">
      <alignment vertical="center"/>
    </xf>
    <xf numFmtId="0" fontId="21" fillId="20" borderId="2" xfId="0" applyFont="1" applyFill="1" applyBorder="1" applyAlignment="1">
      <alignment vertical="center" wrapText="1"/>
    </xf>
    <xf numFmtId="0" fontId="26" fillId="8" borderId="3" xfId="0" applyFont="1" applyFill="1" applyBorder="1">
      <alignment vertical="center"/>
    </xf>
    <xf numFmtId="0" fontId="26" fillId="8" borderId="4" xfId="0" applyFont="1" applyFill="1" applyBorder="1" applyAlignment="1">
      <alignment vertical="center" wrapText="1"/>
    </xf>
    <xf numFmtId="0" fontId="27" fillId="17" borderId="8" xfId="0" applyFont="1" applyFill="1" applyBorder="1" applyAlignment="1">
      <alignment vertical="center" wrapText="1"/>
    </xf>
    <xf numFmtId="0" fontId="26" fillId="17" borderId="8" xfId="0" applyFont="1" applyFill="1" applyBorder="1" applyAlignment="1">
      <alignment vertical="center" wrapText="1"/>
    </xf>
    <xf numFmtId="0" fontId="31" fillId="20" borderId="2" xfId="0" applyFont="1" applyFill="1" applyBorder="1" applyAlignment="1">
      <alignment vertical="center" wrapText="1"/>
    </xf>
    <xf numFmtId="0" fontId="26" fillId="17" borderId="2" xfId="0" applyFont="1" applyFill="1" applyBorder="1">
      <alignment vertical="center"/>
    </xf>
    <xf numFmtId="0" fontId="26" fillId="17" borderId="4" xfId="0" applyFont="1" applyFill="1" applyBorder="1" applyAlignment="1">
      <alignment vertical="center" wrapText="1"/>
    </xf>
    <xf numFmtId="0" fontId="21" fillId="8" borderId="10" xfId="0" applyFont="1" applyFill="1" applyBorder="1" applyAlignment="1">
      <alignment vertical="center" wrapText="1"/>
    </xf>
    <xf numFmtId="0" fontId="16" fillId="8" borderId="14" xfId="0" applyFont="1" applyFill="1" applyBorder="1" applyAlignment="1">
      <alignment horizontal="center" vertical="center"/>
    </xf>
    <xf numFmtId="0" fontId="34" fillId="8" borderId="14" xfId="0" applyFont="1" applyFill="1" applyBorder="1">
      <alignment vertical="center"/>
    </xf>
    <xf numFmtId="0" fontId="34" fillId="8" borderId="14" xfId="0" applyFont="1" applyFill="1" applyBorder="1" applyAlignment="1">
      <alignment vertical="center" wrapText="1"/>
    </xf>
    <xf numFmtId="0" fontId="65" fillId="17" borderId="14" xfId="0" applyFont="1" applyFill="1" applyBorder="1">
      <alignment vertical="center"/>
    </xf>
    <xf numFmtId="0" fontId="65" fillId="17" borderId="14" xfId="0" applyFont="1" applyFill="1" applyBorder="1" applyAlignment="1">
      <alignment vertical="center" wrapText="1"/>
    </xf>
    <xf numFmtId="0" fontId="34" fillId="17" borderId="14" xfId="0" applyFont="1" applyFill="1" applyBorder="1">
      <alignment vertical="center"/>
    </xf>
    <xf numFmtId="0" fontId="34" fillId="17" borderId="8" xfId="0" applyFont="1" applyFill="1" applyBorder="1" applyAlignment="1">
      <alignment vertical="center" wrapText="1"/>
    </xf>
    <xf numFmtId="0" fontId="21" fillId="8" borderId="6" xfId="0" applyFont="1" applyFill="1" applyBorder="1">
      <alignment vertical="center"/>
    </xf>
    <xf numFmtId="0" fontId="16" fillId="8" borderId="5" xfId="0" applyFont="1" applyFill="1" applyBorder="1" applyAlignment="1">
      <alignment horizontal="center" vertical="center"/>
    </xf>
    <xf numFmtId="0" fontId="34" fillId="8" borderId="5" xfId="0" applyFont="1" applyFill="1" applyBorder="1">
      <alignment vertical="center"/>
    </xf>
    <xf numFmtId="0" fontId="34" fillId="8" borderId="5" xfId="0" applyFont="1" applyFill="1" applyBorder="1" applyAlignment="1">
      <alignment vertical="center" wrapText="1"/>
    </xf>
    <xf numFmtId="0" fontId="65" fillId="17" borderId="5" xfId="0" applyFont="1" applyFill="1" applyBorder="1">
      <alignment vertical="center"/>
    </xf>
    <xf numFmtId="0" fontId="65" fillId="17" borderId="5" xfId="0" applyFont="1" applyFill="1" applyBorder="1" applyAlignment="1">
      <alignment vertical="center" wrapText="1"/>
    </xf>
    <xf numFmtId="0" fontId="34" fillId="17" borderId="5" xfId="0" applyFont="1" applyFill="1" applyBorder="1">
      <alignment vertical="center"/>
    </xf>
    <xf numFmtId="0" fontId="26" fillId="8" borderId="14" xfId="0" applyFont="1" applyFill="1" applyBorder="1">
      <alignment vertical="center"/>
    </xf>
    <xf numFmtId="0" fontId="26" fillId="8" borderId="8" xfId="0" applyFont="1" applyFill="1" applyBorder="1" applyAlignment="1">
      <alignment vertical="center" wrapText="1"/>
    </xf>
    <xf numFmtId="0" fontId="27" fillId="17" borderId="2" xfId="0" applyFont="1" applyFill="1" applyBorder="1">
      <alignment vertical="center"/>
    </xf>
    <xf numFmtId="0" fontId="27" fillId="17" borderId="4" xfId="0" applyFont="1" applyFill="1" applyBorder="1" applyAlignment="1">
      <alignment vertical="center" wrapText="1"/>
    </xf>
    <xf numFmtId="0" fontId="21" fillId="8" borderId="0" xfId="0" applyFont="1" applyFill="1" applyAlignment="1">
      <alignment vertical="center" wrapText="1"/>
    </xf>
    <xf numFmtId="0" fontId="16" fillId="8" borderId="0" xfId="0" applyFont="1" applyFill="1" applyAlignment="1">
      <alignment horizontal="center" vertical="center"/>
    </xf>
    <xf numFmtId="0" fontId="34" fillId="8" borderId="0" xfId="0" applyFont="1" applyFill="1">
      <alignment vertical="center"/>
    </xf>
    <xf numFmtId="0" fontId="34" fillId="8" borderId="0" xfId="0" applyFont="1" applyFill="1" applyAlignment="1">
      <alignment vertical="center" wrapText="1"/>
    </xf>
    <xf numFmtId="0" fontId="65" fillId="17" borderId="0" xfId="0" applyFont="1" applyFill="1">
      <alignment vertical="center"/>
    </xf>
    <xf numFmtId="0" fontId="65" fillId="17" borderId="0" xfId="0" applyFont="1" applyFill="1" applyAlignment="1">
      <alignment vertical="center" wrapText="1"/>
    </xf>
    <xf numFmtId="0" fontId="34" fillId="17" borderId="0" xfId="0" applyFont="1" applyFill="1">
      <alignment vertical="center"/>
    </xf>
    <xf numFmtId="0" fontId="34" fillId="17" borderId="0" xfId="0" applyFont="1" applyFill="1" applyAlignment="1">
      <alignment vertical="center" wrapText="1"/>
    </xf>
    <xf numFmtId="0" fontId="21" fillId="8" borderId="0" xfId="0" applyFont="1" applyFill="1">
      <alignment vertical="center"/>
    </xf>
    <xf numFmtId="0" fontId="21" fillId="10" borderId="2" xfId="0" applyFont="1" applyFill="1" applyBorder="1" applyAlignment="1">
      <alignment vertical="center" wrapText="1"/>
    </xf>
    <xf numFmtId="0" fontId="2" fillId="2" borderId="6" xfId="0" applyFont="1" applyFill="1" applyBorder="1" applyAlignment="1">
      <alignment horizontal="left" vertical="center" wrapText="1"/>
    </xf>
    <xf numFmtId="0" fontId="41" fillId="8" borderId="8" xfId="0" applyFont="1" applyFill="1" applyBorder="1" applyAlignment="1">
      <alignment vertical="center" wrapText="1"/>
    </xf>
    <xf numFmtId="0" fontId="43" fillId="17" borderId="10" xfId="0" applyFont="1" applyFill="1" applyBorder="1">
      <alignment vertical="center"/>
    </xf>
    <xf numFmtId="0" fontId="2" fillId="2" borderId="2" xfId="0" applyFont="1" applyFill="1" applyBorder="1" applyAlignment="1">
      <alignment horizontal="left" vertical="center" wrapText="1"/>
    </xf>
    <xf numFmtId="0" fontId="31" fillId="10" borderId="2" xfId="0" applyFont="1" applyFill="1" applyBorder="1" applyAlignment="1">
      <alignment vertical="center" wrapText="1"/>
    </xf>
    <xf numFmtId="0" fontId="21" fillId="0" borderId="0" xfId="0" applyFont="1" applyAlignment="1">
      <alignment vertical="center" wrapText="1"/>
    </xf>
    <xf numFmtId="0" fontId="21" fillId="11" borderId="2" xfId="0" applyFont="1" applyFill="1" applyBorder="1" applyAlignment="1">
      <alignment vertical="center" wrapText="1"/>
    </xf>
    <xf numFmtId="0" fontId="21" fillId="8" borderId="0" xfId="0" applyFont="1" applyFill="1" applyAlignment="1">
      <alignment horizontal="center" vertical="center"/>
    </xf>
    <xf numFmtId="0" fontId="34" fillId="8" borderId="25" xfId="0" applyFont="1" applyFill="1" applyBorder="1" applyAlignment="1">
      <alignment vertical="center" wrapText="1"/>
    </xf>
    <xf numFmtId="0" fontId="21" fillId="0" borderId="15" xfId="0" applyFont="1" applyBorder="1" applyAlignment="1">
      <alignment vertical="center" wrapText="1"/>
    </xf>
    <xf numFmtId="0" fontId="27" fillId="17" borderId="0" xfId="0" applyFont="1" applyFill="1">
      <alignment vertical="center"/>
    </xf>
    <xf numFmtId="0" fontId="27" fillId="17" borderId="0" xfId="0" applyFont="1" applyFill="1" applyAlignment="1">
      <alignment vertical="center" wrapText="1"/>
    </xf>
    <xf numFmtId="0" fontId="26" fillId="17" borderId="0" xfId="0" applyFont="1" applyFill="1">
      <alignment vertical="center"/>
    </xf>
    <xf numFmtId="0" fontId="26" fillId="17" borderId="0" xfId="0" applyFont="1" applyFill="1" applyAlignment="1">
      <alignment vertical="center" wrapText="1"/>
    </xf>
    <xf numFmtId="0" fontId="21" fillId="8" borderId="4" xfId="0" applyFont="1" applyFill="1" applyBorder="1" applyAlignment="1">
      <alignment horizontal="center" vertical="center"/>
    </xf>
    <xf numFmtId="0" fontId="34" fillId="8" borderId="8" xfId="0" applyFont="1" applyFill="1" applyBorder="1" applyAlignment="1">
      <alignment vertical="center" wrapText="1"/>
    </xf>
    <xf numFmtId="0" fontId="34" fillId="8" borderId="3" xfId="0" applyFont="1" applyFill="1" applyBorder="1">
      <alignment vertical="center"/>
    </xf>
    <xf numFmtId="0" fontId="34" fillId="8" borderId="4" xfId="0" applyFont="1" applyFill="1" applyBorder="1" applyAlignment="1">
      <alignment vertical="center" wrapText="1"/>
    </xf>
    <xf numFmtId="0" fontId="34" fillId="0" borderId="0" xfId="0" applyFont="1">
      <alignment vertical="center"/>
    </xf>
    <xf numFmtId="0" fontId="16" fillId="8" borderId="3" xfId="0" applyFont="1" applyFill="1" applyBorder="1" applyAlignment="1">
      <alignment horizontal="center" vertical="center"/>
    </xf>
    <xf numFmtId="0" fontId="21" fillId="12" borderId="2" xfId="0" applyFont="1" applyFill="1" applyBorder="1" applyAlignment="1">
      <alignment vertical="center" wrapText="1"/>
    </xf>
    <xf numFmtId="0" fontId="21" fillId="13" borderId="2" xfId="0" applyFont="1" applyFill="1" applyBorder="1" applyAlignment="1">
      <alignment vertical="center" wrapText="1"/>
    </xf>
    <xf numFmtId="0" fontId="21" fillId="0" borderId="14" xfId="0" applyFont="1" applyBorder="1" applyAlignment="1">
      <alignment vertical="center" wrapText="1"/>
    </xf>
    <xf numFmtId="0" fontId="34" fillId="17" borderId="14" xfId="0" applyFont="1" applyFill="1" applyBorder="1" applyAlignment="1">
      <alignment vertical="center" wrapText="1"/>
    </xf>
    <xf numFmtId="0" fontId="21" fillId="0" borderId="5" xfId="0" applyFont="1" applyBorder="1">
      <alignment vertical="center"/>
    </xf>
    <xf numFmtId="0" fontId="21" fillId="8" borderId="5" xfId="0" applyFont="1" applyFill="1" applyBorder="1" applyAlignment="1">
      <alignment horizontal="center" vertical="center"/>
    </xf>
    <xf numFmtId="0" fontId="34" fillId="17" borderId="5" xfId="0" applyFont="1" applyFill="1" applyBorder="1" applyAlignment="1">
      <alignment vertical="center" wrapText="1"/>
    </xf>
    <xf numFmtId="0" fontId="21" fillId="21" borderId="2" xfId="0" applyFont="1" applyFill="1" applyBorder="1" applyAlignment="1">
      <alignment vertical="center" wrapText="1"/>
    </xf>
    <xf numFmtId="0" fontId="26" fillId="8" borderId="0" xfId="0" applyFont="1" applyFill="1">
      <alignment vertical="center"/>
    </xf>
    <xf numFmtId="0" fontId="26" fillId="8" borderId="0" xfId="0" applyFont="1" applyFill="1" applyAlignment="1">
      <alignment vertical="center" wrapText="1"/>
    </xf>
    <xf numFmtId="0" fontId="34" fillId="0" borderId="31" xfId="0" applyFont="1" applyBorder="1">
      <alignment vertical="center"/>
    </xf>
    <xf numFmtId="0" fontId="34" fillId="0" borderId="32" xfId="0" applyFont="1" applyBorder="1">
      <alignment vertical="center"/>
    </xf>
    <xf numFmtId="0" fontId="34" fillId="0" borderId="30" xfId="0" applyFont="1" applyBorder="1">
      <alignment vertical="center"/>
    </xf>
    <xf numFmtId="0" fontId="34" fillId="0" borderId="33" xfId="0" applyFont="1" applyBorder="1">
      <alignment vertical="center"/>
    </xf>
    <xf numFmtId="0" fontId="34" fillId="0" borderId="34" xfId="0" applyFont="1" applyBorder="1">
      <alignment vertical="center"/>
    </xf>
    <xf numFmtId="0" fontId="34" fillId="0" borderId="35" xfId="0" applyFont="1" applyBorder="1">
      <alignment vertical="center"/>
    </xf>
    <xf numFmtId="0" fontId="26" fillId="8" borderId="2" xfId="0" applyFont="1" applyFill="1" applyBorder="1">
      <alignment vertical="center"/>
    </xf>
    <xf numFmtId="0" fontId="2" fillId="15" borderId="1" xfId="0" applyFont="1" applyFill="1" applyBorder="1">
      <alignment vertical="center"/>
    </xf>
    <xf numFmtId="0" fontId="2" fillId="15" borderId="8" xfId="0" applyFont="1" applyFill="1" applyBorder="1">
      <alignment vertical="center"/>
    </xf>
    <xf numFmtId="0" fontId="2" fillId="15" borderId="4" xfId="0" applyFont="1" applyFill="1" applyBorder="1" applyAlignment="1">
      <alignment vertical="center" wrapText="1"/>
    </xf>
    <xf numFmtId="0" fontId="2" fillId="5" borderId="1" xfId="0" applyFont="1" applyFill="1" applyBorder="1">
      <alignment vertical="center"/>
    </xf>
    <xf numFmtId="0" fontId="2" fillId="5" borderId="2" xfId="0" applyFont="1" applyFill="1" applyBorder="1">
      <alignment vertical="center"/>
    </xf>
    <xf numFmtId="0" fontId="2" fillId="5" borderId="4" xfId="0" applyFont="1" applyFill="1" applyBorder="1">
      <alignment vertical="center"/>
    </xf>
    <xf numFmtId="0" fontId="2" fillId="5" borderId="8" xfId="0" applyFont="1" applyFill="1" applyBorder="1">
      <alignment vertical="center"/>
    </xf>
    <xf numFmtId="0" fontId="5" fillId="5" borderId="10" xfId="0" applyFont="1" applyFill="1" applyBorder="1">
      <alignment vertical="center"/>
    </xf>
    <xf numFmtId="0" fontId="5" fillId="0" borderId="10" xfId="0" applyFont="1" applyBorder="1">
      <alignment vertical="center"/>
    </xf>
    <xf numFmtId="0" fontId="2" fillId="5" borderId="9" xfId="0" applyFont="1" applyFill="1" applyBorder="1">
      <alignment vertical="center"/>
    </xf>
    <xf numFmtId="0" fontId="2" fillId="5" borderId="10" xfId="0" applyFont="1" applyFill="1" applyBorder="1">
      <alignment vertical="center"/>
    </xf>
    <xf numFmtId="0" fontId="2" fillId="5" borderId="4" xfId="0" applyFont="1" applyFill="1" applyBorder="1" applyAlignment="1">
      <alignment horizontal="center" vertical="center"/>
    </xf>
    <xf numFmtId="0" fontId="5" fillId="22" borderId="2" xfId="0" applyFont="1" applyFill="1" applyBorder="1" applyAlignment="1">
      <alignment horizontal="center" vertical="top" wrapText="1"/>
    </xf>
    <xf numFmtId="0" fontId="5" fillId="22" borderId="6" xfId="0" applyFont="1" applyFill="1" applyBorder="1" applyAlignment="1">
      <alignment horizontal="center" vertical="center" wrapText="1"/>
    </xf>
    <xf numFmtId="0" fontId="2" fillId="5" borderId="0" xfId="0" applyFont="1" applyFill="1" applyAlignment="1">
      <alignment horizontal="center" vertical="center"/>
    </xf>
    <xf numFmtId="0" fontId="2" fillId="5" borderId="0" xfId="0" applyFont="1" applyFill="1" applyAlignment="1">
      <alignment horizontal="left" vertical="center"/>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 fillId="5" borderId="9" xfId="0" applyFont="1" applyFill="1" applyBorder="1" applyAlignment="1">
      <alignment horizontal="left" vertical="center"/>
    </xf>
    <xf numFmtId="0" fontId="5" fillId="2" borderId="3" xfId="0" applyFont="1" applyFill="1" applyBorder="1" applyAlignment="1">
      <alignment horizontal="center" vertical="center"/>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22" borderId="2"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2" fillId="5" borderId="0" xfId="0" applyFont="1" applyFill="1">
      <alignment vertical="center"/>
    </xf>
    <xf numFmtId="0" fontId="5" fillId="2" borderId="6" xfId="0" applyFont="1" applyFill="1" applyBorder="1" applyAlignment="1">
      <alignment horizontal="center" vertical="center"/>
    </xf>
    <xf numFmtId="0" fontId="2" fillId="6" borderId="7" xfId="0" applyFont="1" applyFill="1" applyBorder="1" applyAlignment="1">
      <alignment horizontal="center" vertical="center" wrapText="1"/>
    </xf>
    <xf numFmtId="0" fontId="8" fillId="5" borderId="1" xfId="1" applyFill="1" applyBorder="1" applyAlignment="1">
      <alignment horizontal="center" vertical="center"/>
    </xf>
    <xf numFmtId="0" fontId="2" fillId="15" borderId="1" xfId="0" applyFont="1" applyFill="1" applyBorder="1" applyAlignment="1">
      <alignment horizontal="left" vertical="center"/>
    </xf>
    <xf numFmtId="0" fontId="6" fillId="0" borderId="6" xfId="0" applyFont="1" applyBorder="1" applyAlignment="1">
      <alignment horizontal="center" vertical="center" wrapText="1"/>
    </xf>
    <xf numFmtId="0" fontId="2" fillId="5" borderId="4" xfId="0" applyFont="1" applyFill="1" applyBorder="1" applyAlignment="1">
      <alignment horizontal="center" vertical="center" wrapText="1"/>
    </xf>
    <xf numFmtId="0" fontId="2" fillId="5" borderId="3" xfId="0" applyFont="1" applyFill="1" applyBorder="1" applyAlignment="1">
      <alignment horizontal="center" vertical="center"/>
    </xf>
    <xf numFmtId="0" fontId="2" fillId="15" borderId="1" xfId="0" applyFont="1" applyFill="1" applyBorder="1" applyAlignment="1">
      <alignment vertical="center" wrapText="1"/>
    </xf>
    <xf numFmtId="0" fontId="2" fillId="0" borderId="1" xfId="0" applyFont="1" applyBorder="1" applyAlignment="1">
      <alignment vertical="center" wrapText="1"/>
    </xf>
    <xf numFmtId="0" fontId="2" fillId="8" borderId="1" xfId="0" applyFont="1" applyFill="1" applyBorder="1" applyAlignment="1">
      <alignment horizontal="center" vertical="center"/>
    </xf>
    <xf numFmtId="0" fontId="2" fillId="8" borderId="1" xfId="0" applyFont="1" applyFill="1" applyBorder="1" applyAlignment="1">
      <alignment horizontal="left" vertical="center"/>
    </xf>
    <xf numFmtId="0" fontId="2" fillId="5" borderId="2" xfId="0" applyFont="1" applyFill="1" applyBorder="1" applyAlignment="1">
      <alignment horizontal="center" vertical="center"/>
    </xf>
    <xf numFmtId="0" fontId="2" fillId="5" borderId="14" xfId="0" applyFont="1" applyFill="1" applyBorder="1" applyAlignment="1">
      <alignment horizontal="center" vertical="center"/>
    </xf>
    <xf numFmtId="0" fontId="2" fillId="15" borderId="9" xfId="0" applyFont="1" applyFill="1" applyBorder="1" applyAlignment="1">
      <alignment vertical="center" wrapText="1"/>
    </xf>
    <xf numFmtId="0" fontId="2" fillId="0" borderId="9" xfId="0" applyFont="1" applyBorder="1" applyAlignment="1">
      <alignment vertical="center" wrapText="1"/>
    </xf>
    <xf numFmtId="0" fontId="2" fillId="8" borderId="9" xfId="0" applyFont="1" applyFill="1" applyBorder="1" applyAlignment="1">
      <alignment horizontal="center" vertical="center"/>
    </xf>
    <xf numFmtId="0" fontId="2" fillId="8" borderId="9" xfId="0" applyFont="1" applyFill="1" applyBorder="1" applyAlignment="1">
      <alignment horizontal="left" vertical="center"/>
    </xf>
    <xf numFmtId="0" fontId="2" fillId="7" borderId="9" xfId="0" applyFont="1" applyFill="1" applyBorder="1" applyAlignment="1">
      <alignment horizontal="left" vertical="center"/>
    </xf>
    <xf numFmtId="0" fontId="2" fillId="15" borderId="9" xfId="0" applyFont="1" applyFill="1" applyBorder="1" applyAlignment="1">
      <alignment horizontal="left" vertical="center"/>
    </xf>
    <xf numFmtId="0" fontId="2" fillId="5" borderId="9" xfId="0" applyFont="1" applyFill="1" applyBorder="1" applyAlignment="1">
      <alignment horizontal="center" vertical="center"/>
    </xf>
    <xf numFmtId="1" fontId="2" fillId="0" borderId="9" xfId="0" applyNumberFormat="1" applyFont="1" applyBorder="1" applyAlignment="1">
      <alignment horizontal="center" vertical="center"/>
    </xf>
    <xf numFmtId="0" fontId="2" fillId="5" borderId="10" xfId="0" applyFont="1" applyFill="1" applyBorder="1" applyAlignment="1">
      <alignment horizontal="center" vertical="center"/>
    </xf>
    <xf numFmtId="0" fontId="2" fillId="15" borderId="9" xfId="0" applyFont="1" applyFill="1" applyBorder="1" applyAlignment="1">
      <alignment horizontal="center" vertical="center"/>
    </xf>
    <xf numFmtId="0" fontId="2" fillId="7" borderId="9" xfId="0" applyFont="1" applyFill="1" applyBorder="1" applyAlignment="1">
      <alignment horizontal="center" vertical="center"/>
    </xf>
    <xf numFmtId="0" fontId="2" fillId="7" borderId="36" xfId="0" applyFont="1" applyFill="1" applyBorder="1" applyAlignment="1">
      <alignment horizontal="center" vertical="center"/>
    </xf>
    <xf numFmtId="0" fontId="2" fillId="0" borderId="36" xfId="0" applyFont="1" applyBorder="1" applyAlignment="1">
      <alignment horizontal="left" vertical="center"/>
    </xf>
    <xf numFmtId="0" fontId="2" fillId="0" borderId="36" xfId="0" applyFont="1" applyBorder="1">
      <alignment vertical="center"/>
    </xf>
    <xf numFmtId="0" fontId="2" fillId="0" borderId="36" xfId="0" applyFont="1" applyBorder="1" applyAlignment="1">
      <alignment horizontal="center" vertical="center"/>
    </xf>
    <xf numFmtId="0" fontId="2" fillId="0" borderId="8" xfId="0" applyFont="1" applyBorder="1" applyAlignment="1">
      <alignment horizontal="left" vertical="center"/>
    </xf>
    <xf numFmtId="0" fontId="2" fillId="0" borderId="25" xfId="0" applyFont="1" applyBorder="1" applyAlignment="1">
      <alignment horizontal="left" vertical="center"/>
    </xf>
    <xf numFmtId="0" fontId="2" fillId="7" borderId="10" xfId="0" applyFont="1" applyFill="1" applyBorder="1" applyAlignment="1">
      <alignment horizontal="left" vertical="center"/>
    </xf>
    <xf numFmtId="0" fontId="2" fillId="0" borderId="10" xfId="0" applyFont="1" applyBorder="1" applyAlignment="1">
      <alignment horizontal="left" vertical="center"/>
    </xf>
    <xf numFmtId="0" fontId="2" fillId="0" borderId="10" xfId="0" applyFont="1" applyBorder="1" applyAlignment="1">
      <alignment horizontal="center" vertical="center"/>
    </xf>
    <xf numFmtId="0" fontId="2" fillId="0" borderId="0" xfId="0" applyFont="1" applyAlignment="1">
      <alignment horizontal="left" vertical="center" wrapText="1"/>
    </xf>
    <xf numFmtId="0" fontId="2" fillId="5" borderId="14" xfId="0" applyFont="1" applyFill="1" applyBorder="1">
      <alignment vertical="center"/>
    </xf>
    <xf numFmtId="0" fontId="2" fillId="0" borderId="8" xfId="0" applyFont="1" applyBorder="1" applyAlignment="1">
      <alignment horizontal="center" vertical="center"/>
    </xf>
    <xf numFmtId="0" fontId="2" fillId="0" borderId="25" xfId="0" applyFont="1" applyBorder="1" applyAlignment="1">
      <alignment horizontal="center" vertical="center"/>
    </xf>
    <xf numFmtId="0" fontId="5" fillId="0" borderId="9" xfId="0" applyFont="1" applyBorder="1">
      <alignment vertical="center"/>
    </xf>
    <xf numFmtId="0" fontId="5" fillId="5" borderId="8" xfId="0" applyFont="1" applyFill="1" applyBorder="1">
      <alignment vertical="center"/>
    </xf>
    <xf numFmtId="0" fontId="5" fillId="5" borderId="14" xfId="0" applyFont="1" applyFill="1" applyBorder="1">
      <alignment vertical="center"/>
    </xf>
    <xf numFmtId="0" fontId="8" fillId="0" borderId="1" xfId="1" applyNumberFormat="1" applyBorder="1" applyAlignment="1">
      <alignment horizontal="center" vertical="center"/>
    </xf>
    <xf numFmtId="0" fontId="2" fillId="5" borderId="8" xfId="0" applyFont="1" applyFill="1" applyBorder="1" applyAlignment="1">
      <alignment horizontal="center" vertical="center"/>
    </xf>
    <xf numFmtId="0" fontId="8" fillId="0" borderId="9" xfId="1" applyBorder="1" applyAlignment="1">
      <alignment horizontal="center" vertical="center"/>
    </xf>
    <xf numFmtId="0" fontId="8" fillId="0" borderId="9" xfId="1" applyNumberFormat="1" applyBorder="1" applyAlignment="1">
      <alignment horizontal="center" vertical="center"/>
    </xf>
    <xf numFmtId="0" fontId="19" fillId="0" borderId="0" xfId="0" applyFont="1" applyAlignment="1">
      <alignment vertical="center" wrapText="1"/>
    </xf>
    <xf numFmtId="0" fontId="70" fillId="0" borderId="9" xfId="0" applyFont="1" applyBorder="1" applyAlignment="1">
      <alignment horizontal="center" vertical="center" wrapText="1"/>
    </xf>
    <xf numFmtId="0" fontId="70" fillId="0" borderId="0" xfId="0" applyFont="1"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0" borderId="9" xfId="0" applyBorder="1" applyAlignment="1">
      <alignment horizontal="center" vertical="center"/>
    </xf>
    <xf numFmtId="0" fontId="2" fillId="2" borderId="1" xfId="0" applyFont="1" applyFill="1" applyBorder="1" applyAlignment="1">
      <alignment horizontal="center" vertical="top"/>
    </xf>
    <xf numFmtId="0" fontId="2" fillId="2" borderId="1" xfId="0" applyFont="1" applyFill="1" applyBorder="1" applyAlignment="1">
      <alignment horizontal="center" vertical="top" wrapText="1"/>
    </xf>
    <xf numFmtId="0" fontId="4" fillId="2" borderId="1" xfId="0" applyFont="1" applyFill="1" applyBorder="1" applyAlignment="1">
      <alignment horizontal="center" vertical="top" wrapText="1"/>
    </xf>
    <xf numFmtId="0" fontId="75" fillId="2"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76" fillId="0" borderId="0" xfId="0" applyFont="1">
      <alignment vertical="center"/>
    </xf>
    <xf numFmtId="0" fontId="3" fillId="2" borderId="1" xfId="0" applyFont="1" applyFill="1" applyBorder="1" applyAlignment="1">
      <alignment horizontal="center" vertical="center" wrapText="1"/>
    </xf>
    <xf numFmtId="0" fontId="71" fillId="2" borderId="1" xfId="0" applyFont="1" applyFill="1" applyBorder="1" applyAlignment="1">
      <alignment horizontal="center" vertical="center" wrapText="1"/>
    </xf>
    <xf numFmtId="0" fontId="78" fillId="2"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75" fillId="2" borderId="1" xfId="0" applyFont="1" applyFill="1" applyBorder="1" applyAlignment="1">
      <alignment horizontal="center" vertical="center" wrapText="1"/>
    </xf>
    <xf numFmtId="0" fontId="2" fillId="22" borderId="1" xfId="0" applyFont="1" applyFill="1" applyBorder="1" applyAlignment="1">
      <alignment horizontal="center" vertical="top" wrapText="1"/>
    </xf>
    <xf numFmtId="0" fontId="70"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9" fillId="6"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1" fillId="2" borderId="17" xfId="0" applyFont="1" applyFill="1" applyBorder="1" applyAlignment="1">
      <alignment vertical="center" wrapText="1"/>
    </xf>
    <xf numFmtId="0" fontId="16" fillId="0" borderId="19" xfId="0" applyFont="1" applyBorder="1" applyAlignment="1">
      <alignment vertical="center" wrapText="1"/>
    </xf>
    <xf numFmtId="0" fontId="16" fillId="0" borderId="22" xfId="0" applyFont="1" applyBorder="1" applyAlignment="1">
      <alignment vertical="center" wrapText="1"/>
    </xf>
    <xf numFmtId="0" fontId="26" fillId="8" borderId="17" xfId="0" applyFont="1" applyFill="1" applyBorder="1" applyAlignment="1">
      <alignment vertical="center" wrapText="1"/>
    </xf>
    <xf numFmtId="0" fontId="0" fillId="0" borderId="18" xfId="0" applyBorder="1" applyAlignment="1">
      <alignment vertical="center" wrapText="1"/>
    </xf>
    <xf numFmtId="0" fontId="27" fillId="17" borderId="17" xfId="0" applyFont="1" applyFill="1" applyBorder="1" applyAlignment="1">
      <alignment vertical="center" wrapText="1"/>
    </xf>
    <xf numFmtId="0" fontId="0" fillId="17" borderId="18" xfId="0" applyFill="1" applyBorder="1" applyAlignment="1">
      <alignment vertical="center" wrapText="1"/>
    </xf>
    <xf numFmtId="0" fontId="26" fillId="17" borderId="17" xfId="0" applyFont="1" applyFill="1" applyBorder="1" applyAlignment="1">
      <alignment vertical="center" wrapText="1"/>
    </xf>
    <xf numFmtId="0" fontId="22" fillId="16" borderId="2" xfId="0" applyFont="1" applyFill="1" applyBorder="1" applyAlignment="1">
      <alignment horizontal="center" vertical="center"/>
    </xf>
    <xf numFmtId="0" fontId="17" fillId="16" borderId="4" xfId="0" applyFont="1" applyFill="1" applyBorder="1" applyAlignment="1">
      <alignment horizontal="center" vertical="center"/>
    </xf>
    <xf numFmtId="0" fontId="23" fillId="16" borderId="1" xfId="0" applyFont="1" applyFill="1" applyBorder="1" applyAlignment="1">
      <alignment horizontal="center" vertical="center"/>
    </xf>
    <xf numFmtId="0" fontId="24" fillId="16" borderId="1" xfId="0" applyFont="1" applyFill="1" applyBorder="1" applyAlignment="1">
      <alignment horizontal="center" vertical="center"/>
    </xf>
    <xf numFmtId="0" fontId="26" fillId="8" borderId="2" xfId="0" applyFont="1" applyFill="1" applyBorder="1" applyAlignment="1">
      <alignment vertical="center" wrapText="1"/>
    </xf>
    <xf numFmtId="0" fontId="0" fillId="0" borderId="4" xfId="0" applyBorder="1" applyAlignment="1">
      <alignment vertical="center" wrapText="1"/>
    </xf>
    <xf numFmtId="0" fontId="27" fillId="17" borderId="2" xfId="0" applyFont="1" applyFill="1" applyBorder="1" applyAlignment="1">
      <alignment vertical="center" wrapText="1"/>
    </xf>
    <xf numFmtId="0" fontId="0" fillId="17" borderId="4" xfId="0" applyFill="1" applyBorder="1" applyAlignment="1">
      <alignment vertical="center" wrapText="1"/>
    </xf>
    <xf numFmtId="0" fontId="26" fillId="17" borderId="2" xfId="0" applyFont="1" applyFill="1" applyBorder="1" applyAlignment="1">
      <alignment vertical="center" wrapText="1"/>
    </xf>
    <xf numFmtId="0" fontId="2" fillId="8" borderId="2" xfId="0" applyFont="1" applyFill="1" applyBorder="1" applyAlignment="1">
      <alignment horizontal="left" vertical="center" wrapText="1"/>
    </xf>
    <xf numFmtId="0" fontId="2" fillId="8" borderId="4" xfId="0" applyFont="1" applyFill="1" applyBorder="1" applyAlignment="1">
      <alignment horizontal="left" vertical="center"/>
    </xf>
    <xf numFmtId="0" fontId="16" fillId="0" borderId="26" xfId="0" applyFont="1" applyBorder="1" applyAlignment="1">
      <alignment vertical="center" wrapText="1"/>
    </xf>
    <xf numFmtId="0" fontId="2" fillId="0" borderId="0" xfId="0" applyFont="1" applyAlignment="1">
      <alignment horizontal="left" vertical="center"/>
    </xf>
    <xf numFmtId="0" fontId="26" fillId="8" borderId="2" xfId="0" applyFont="1" applyFill="1" applyBorder="1" applyAlignment="1">
      <alignment horizontal="left" vertical="center" wrapText="1"/>
    </xf>
    <xf numFmtId="0" fontId="26" fillId="8" borderId="4" xfId="0" applyFont="1" applyFill="1" applyBorder="1" applyAlignment="1">
      <alignment horizontal="left" vertical="center" wrapText="1"/>
    </xf>
    <xf numFmtId="0" fontId="41" fillId="8" borderId="2" xfId="0" applyFont="1" applyFill="1" applyBorder="1" applyAlignment="1">
      <alignment vertical="center" wrapText="1"/>
    </xf>
    <xf numFmtId="0" fontId="42" fillId="0" borderId="4" xfId="0" applyFont="1" applyBorder="1" applyAlignment="1">
      <alignment vertical="center" wrapText="1"/>
    </xf>
    <xf numFmtId="0" fontId="43" fillId="17" borderId="2" xfId="0" applyFont="1" applyFill="1" applyBorder="1" applyAlignment="1">
      <alignment vertical="center" wrapText="1"/>
    </xf>
    <xf numFmtId="0" fontId="42" fillId="17" borderId="4" xfId="0" applyFont="1" applyFill="1" applyBorder="1" applyAlignment="1">
      <alignment vertical="center" wrapText="1"/>
    </xf>
    <xf numFmtId="0" fontId="44" fillId="17" borderId="2" xfId="0" applyFont="1" applyFill="1" applyBorder="1" applyAlignment="1">
      <alignment vertical="center" wrapText="1"/>
    </xf>
    <xf numFmtId="0" fontId="5" fillId="8" borderId="2" xfId="0" applyFont="1" applyFill="1" applyBorder="1" applyAlignment="1">
      <alignment horizontal="left" vertical="center"/>
    </xf>
    <xf numFmtId="0" fontId="5" fillId="8" borderId="4" xfId="0" applyFont="1" applyFill="1" applyBorder="1" applyAlignment="1">
      <alignment horizontal="left" vertical="center"/>
    </xf>
    <xf numFmtId="0" fontId="52" fillId="17" borderId="2" xfId="0" applyFont="1" applyFill="1" applyBorder="1" applyAlignment="1">
      <alignment vertical="center" wrapText="1"/>
    </xf>
    <xf numFmtId="0" fontId="26" fillId="8" borderId="2" xfId="0" applyFont="1" applyFill="1" applyBorder="1" applyAlignment="1">
      <alignment vertical="top" wrapText="1"/>
    </xf>
    <xf numFmtId="0" fontId="26" fillId="8" borderId="4" xfId="0" applyFont="1" applyFill="1" applyBorder="1" applyAlignment="1">
      <alignment vertical="top" wrapText="1"/>
    </xf>
    <xf numFmtId="0" fontId="43" fillId="17" borderId="2" xfId="0" applyFont="1" applyFill="1" applyBorder="1" applyAlignment="1">
      <alignment vertical="top" wrapText="1"/>
    </xf>
    <xf numFmtId="0" fontId="0" fillId="17" borderId="4" xfId="0" applyFill="1" applyBorder="1" applyAlignment="1">
      <alignment vertical="top" wrapText="1"/>
    </xf>
    <xf numFmtId="0" fontId="41" fillId="17" borderId="2" xfId="0" applyFont="1" applyFill="1" applyBorder="1" applyAlignment="1">
      <alignment vertical="center" wrapText="1"/>
    </xf>
    <xf numFmtId="0" fontId="21" fillId="4" borderId="17" xfId="0" applyFont="1" applyFill="1" applyBorder="1" applyAlignment="1">
      <alignment vertical="center" wrapText="1"/>
    </xf>
    <xf numFmtId="0" fontId="5" fillId="8" borderId="19" xfId="0" applyFont="1" applyFill="1" applyBorder="1" applyAlignment="1">
      <alignment vertical="center" wrapText="1"/>
    </xf>
    <xf numFmtId="0" fontId="5" fillId="8" borderId="20" xfId="0" applyFont="1" applyFill="1" applyBorder="1" applyAlignment="1">
      <alignment vertical="center" wrapText="1"/>
    </xf>
    <xf numFmtId="0" fontId="32" fillId="17" borderId="19" xfId="0" applyFont="1" applyFill="1" applyBorder="1" applyAlignment="1">
      <alignment vertical="center" wrapText="1"/>
    </xf>
    <xf numFmtId="0" fontId="32" fillId="17" borderId="20" xfId="0" applyFont="1" applyFill="1" applyBorder="1" applyAlignment="1">
      <alignment vertical="center" wrapText="1"/>
    </xf>
    <xf numFmtId="0" fontId="2" fillId="17" borderId="19" xfId="0" applyFont="1" applyFill="1" applyBorder="1" applyAlignment="1">
      <alignment vertical="center" wrapText="1"/>
    </xf>
    <xf numFmtId="0" fontId="2" fillId="17" borderId="20" xfId="0" applyFont="1" applyFill="1" applyBorder="1" applyAlignment="1">
      <alignment vertical="center" wrapText="1"/>
    </xf>
    <xf numFmtId="0" fontId="5" fillId="8" borderId="22" xfId="0" applyFont="1" applyFill="1" applyBorder="1" applyAlignment="1">
      <alignment vertical="center" wrapText="1"/>
    </xf>
    <xf numFmtId="0" fontId="5" fillId="8" borderId="23" xfId="0" applyFont="1" applyFill="1" applyBorder="1" applyAlignment="1">
      <alignment vertical="center" wrapText="1"/>
    </xf>
    <xf numFmtId="0" fontId="32" fillId="17" borderId="22" xfId="0" applyFont="1" applyFill="1" applyBorder="1" applyAlignment="1">
      <alignment vertical="center" wrapText="1"/>
    </xf>
    <xf numFmtId="0" fontId="32" fillId="17" borderId="23" xfId="0" applyFont="1" applyFill="1" applyBorder="1" applyAlignment="1">
      <alignment vertical="center" wrapText="1"/>
    </xf>
    <xf numFmtId="0" fontId="2" fillId="17" borderId="22" xfId="0" applyFont="1" applyFill="1" applyBorder="1" applyAlignment="1">
      <alignment vertical="center" wrapText="1"/>
    </xf>
    <xf numFmtId="0" fontId="2" fillId="17" borderId="23" xfId="0" applyFont="1" applyFill="1" applyBorder="1" applyAlignment="1">
      <alignment vertical="center" wrapText="1"/>
    </xf>
    <xf numFmtId="0" fontId="21" fillId="19" borderId="17" xfId="0" applyFont="1" applyFill="1" applyBorder="1" applyAlignment="1">
      <alignment vertical="center" wrapText="1"/>
    </xf>
    <xf numFmtId="0" fontId="21" fillId="3" borderId="10" xfId="0" applyFont="1" applyFill="1" applyBorder="1" applyAlignment="1">
      <alignment vertical="center" wrapText="1"/>
    </xf>
    <xf numFmtId="0" fontId="16" fillId="0" borderId="6" xfId="0" applyFont="1" applyBorder="1" applyAlignment="1">
      <alignment vertical="center" wrapText="1"/>
    </xf>
    <xf numFmtId="0" fontId="5" fillId="8" borderId="5" xfId="0" applyFont="1" applyFill="1" applyBorder="1" applyAlignment="1">
      <alignment vertical="center" wrapText="1"/>
    </xf>
    <xf numFmtId="0" fontId="5" fillId="8" borderId="16" xfId="0" applyFont="1" applyFill="1" applyBorder="1" applyAlignment="1">
      <alignment vertical="center" wrapText="1"/>
    </xf>
    <xf numFmtId="0" fontId="49" fillId="17" borderId="6" xfId="0" applyFont="1" applyFill="1" applyBorder="1" applyAlignment="1">
      <alignment vertical="center" wrapText="1"/>
    </xf>
    <xf numFmtId="0" fontId="49" fillId="17" borderId="16" xfId="0" applyFont="1" applyFill="1" applyBorder="1" applyAlignment="1">
      <alignment vertical="center" wrapText="1"/>
    </xf>
    <xf numFmtId="0" fontId="5" fillId="17" borderId="6" xfId="0" applyFont="1" applyFill="1" applyBorder="1" applyAlignment="1">
      <alignment vertical="center" wrapText="1"/>
    </xf>
    <xf numFmtId="0" fontId="63" fillId="17" borderId="16" xfId="0" applyFont="1" applyFill="1" applyBorder="1" applyAlignment="1">
      <alignment vertical="center" wrapText="1"/>
    </xf>
    <xf numFmtId="0" fontId="5" fillId="8" borderId="19" xfId="0" applyFont="1" applyFill="1" applyBorder="1">
      <alignment vertical="center"/>
    </xf>
    <xf numFmtId="0" fontId="5" fillId="8" borderId="20" xfId="0" applyFont="1" applyFill="1" applyBorder="1">
      <alignment vertical="center"/>
    </xf>
    <xf numFmtId="0" fontId="5" fillId="8" borderId="22" xfId="0" applyFont="1" applyFill="1" applyBorder="1">
      <alignment vertical="center"/>
    </xf>
    <xf numFmtId="0" fontId="5" fillId="8" borderId="23" xfId="0" applyFont="1" applyFill="1" applyBorder="1">
      <alignment vertical="center"/>
    </xf>
    <xf numFmtId="0" fontId="21" fillId="10" borderId="17" xfId="0" applyFont="1" applyFill="1" applyBorder="1" applyAlignment="1">
      <alignment vertical="center" wrapText="1"/>
    </xf>
    <xf numFmtId="0" fontId="36" fillId="0" borderId="4" xfId="0" applyFont="1" applyBorder="1" applyAlignment="1">
      <alignment vertical="center" wrapText="1"/>
    </xf>
    <xf numFmtId="0" fontId="36" fillId="17" borderId="4" xfId="0" applyFont="1" applyFill="1" applyBorder="1" applyAlignment="1">
      <alignment vertical="center" wrapText="1"/>
    </xf>
    <xf numFmtId="0" fontId="21" fillId="20" borderId="10" xfId="0" applyFont="1" applyFill="1" applyBorder="1" applyAlignment="1">
      <alignment vertical="center" wrapText="1"/>
    </xf>
    <xf numFmtId="0" fontId="26" fillId="8" borderId="10" xfId="0" applyFont="1" applyFill="1" applyBorder="1" applyAlignment="1">
      <alignment vertical="center" wrapText="1"/>
    </xf>
    <xf numFmtId="0" fontId="0" fillId="0" borderId="8" xfId="0" applyBorder="1" applyAlignment="1">
      <alignment vertical="center" wrapText="1"/>
    </xf>
    <xf numFmtId="0" fontId="27" fillId="17" borderId="10" xfId="0" applyFont="1" applyFill="1" applyBorder="1" applyAlignment="1">
      <alignment vertical="center" wrapText="1"/>
    </xf>
    <xf numFmtId="0" fontId="0" fillId="17" borderId="8" xfId="0" applyFill="1" applyBorder="1" applyAlignment="1">
      <alignment vertical="center" wrapText="1"/>
    </xf>
    <xf numFmtId="0" fontId="26" fillId="17" borderId="10" xfId="0" applyFont="1" applyFill="1" applyBorder="1" applyAlignment="1">
      <alignment vertical="center" wrapText="1"/>
    </xf>
  </cellXfs>
  <cellStyles count="3">
    <cellStyle name="Comma [0]" xfId="2" builtinId="6"/>
    <cellStyle name="Hyperlink" xfId="1" builtinId="8"/>
    <cellStyle name="Normal" xfId="0" builtinId="0"/>
  </cellStyles>
  <dxfs count="322">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游ゴシック"/>
        <family val="2"/>
        <charset val="128"/>
        <scheme val="minor"/>
      </font>
      <fill>
        <patternFill patternType="solid">
          <fgColor theme="4"/>
          <bgColor theme="4"/>
        </patternFill>
      </fill>
    </dxf>
    <dxf>
      <border outline="0">
        <top style="thin">
          <color theme="4" tint="0.39997558519241921"/>
        </top>
      </border>
    </dxf>
    <dxf>
      <border outline="0">
        <right style="thin">
          <color theme="4" tint="0.39997558519241921"/>
        </right>
        <top style="thin">
          <color indexed="64"/>
        </top>
        <bottom style="thin">
          <color theme="4" tint="0.39997558519241921"/>
        </bottom>
      </border>
    </dxf>
    <dxf>
      <border outline="0">
        <bottom style="thin">
          <color indexed="64"/>
        </bottom>
      </border>
    </dxf>
    <dxf>
      <font>
        <b/>
        <i val="0"/>
        <strike val="0"/>
        <condense val="0"/>
        <extend val="0"/>
        <outline val="0"/>
        <shadow val="0"/>
        <u val="none"/>
        <vertAlign val="baseline"/>
        <sz val="10"/>
        <color auto="1"/>
        <name val="Meiryo UI"/>
        <family val="3"/>
        <charset val="128"/>
        <scheme val="none"/>
      </font>
      <fill>
        <patternFill patternType="solid">
          <fgColor indexed="64"/>
          <bgColor rgb="FFFFFFCC"/>
        </patternFill>
      </fill>
      <alignment horizontal="center" vertical="top" textRotation="0" wrapText="1"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10"/>
        <color auto="1"/>
        <name val="Meiryo UI"/>
        <family val="3"/>
        <charset val="128"/>
        <scheme val="none"/>
      </font>
      <fill>
        <patternFill patternType="solid">
          <fgColor indexed="64"/>
          <bgColor rgb="FFFFFFCC"/>
        </patternFill>
      </fill>
      <alignment horizontal="center" vertical="top" textRotation="0" wrapText="1"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10"/>
        <color auto="1"/>
        <name val="Meiryo UI"/>
        <family val="3"/>
        <charset val="128"/>
        <scheme val="none"/>
      </font>
      <fill>
        <patternFill patternType="solid">
          <fgColor indexed="64"/>
          <bgColor rgb="FFFFFFCC"/>
        </patternFill>
      </fill>
      <alignment horizontal="center" vertical="top" textRotation="0" wrapText="1"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10"/>
        <color auto="1"/>
        <name val="Meiryo UI"/>
        <family val="3"/>
        <charset val="128"/>
        <scheme val="none"/>
      </font>
      <fill>
        <patternFill patternType="solid">
          <fgColor indexed="64"/>
          <bgColor theme="7" tint="0.79998168889431442"/>
        </patternFill>
      </fill>
      <alignment horizontal="center" vertical="top" textRotation="0" wrapText="1"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10"/>
        <color auto="1"/>
        <name val="Meiryo UI"/>
        <family val="3"/>
        <charset val="128"/>
        <scheme val="none"/>
      </font>
      <fill>
        <patternFill patternType="solid">
          <fgColor indexed="64"/>
          <bgColor theme="7" tint="0.79998168889431442"/>
        </patternFill>
      </fill>
      <alignment horizontal="center" vertical="top" textRotation="0" wrapText="1"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10"/>
        <color auto="1"/>
        <name val="Meiryo UI"/>
        <family val="3"/>
        <charset val="128"/>
        <scheme val="none"/>
      </font>
      <fill>
        <patternFill patternType="solid">
          <fgColor indexed="64"/>
          <bgColor theme="7" tint="0.79998168889431442"/>
        </patternFill>
      </fill>
      <alignment horizontal="center" vertical="top" textRotation="0" wrapText="1"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outline="0">
        <left style="thin">
          <color indexed="64"/>
        </left>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6"/>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Meiryo UI"/>
        <family val="3"/>
        <charset val="128"/>
        <scheme val="none"/>
      </font>
      <numFmt numFmtId="0" formatCode="General"/>
      <fill>
        <patternFill patternType="solid">
          <fgColor indexed="64"/>
          <bgColor rgb="FFFFFFCC"/>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numFmt numFmtId="0" formatCode="General"/>
      <fill>
        <patternFill patternType="solid">
          <fgColor indexed="64"/>
          <bgColor rgb="FFFFFFCC"/>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numFmt numFmtId="1" formatCode="0"/>
      <fill>
        <patternFill patternType="solid">
          <fgColor indexed="64"/>
          <bgColor rgb="FFFFFFCC"/>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numFmt numFmtId="0" formatCode="General"/>
      <fill>
        <patternFill patternType="solid">
          <fgColor indexed="64"/>
          <bgColor rgb="FFFFFFCC"/>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numFmt numFmtId="0" formatCode="General"/>
      <fill>
        <patternFill patternType="solid">
          <fgColor indexed="64"/>
          <bgColor rgb="FFFFFFCC"/>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dxf>
    <dxf>
      <border outline="0">
        <top style="thin">
          <color indexed="64"/>
        </top>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6"/>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0" tint="-0.49998474074526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0" tint="-0.49998474074526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0" tint="-0.49998474074526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0" tint="-0.49998474074526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0" tint="-0.49998474074526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fill>
        <patternFill patternType="solid">
          <fgColor indexed="64"/>
          <bgColor theme="6"/>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alignment horizontal="left"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0" tint="-0.499984740745262"/>
        </patternFill>
      </fill>
      <alignment horizontal="left"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border diagonalUp="0" diagonalDown="0" outline="0">
        <left/>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font>
    </dxf>
    <dxf>
      <border outline="0">
        <bottom style="thin">
          <color rgb="FF000000"/>
        </bottom>
      </border>
    </dxf>
    <dxf>
      <font>
        <b val="0"/>
        <i val="0"/>
        <strike val="0"/>
        <condense val="0"/>
        <extend val="0"/>
        <outline val="0"/>
        <shadow val="0"/>
        <u val="none"/>
        <vertAlign val="baseline"/>
        <sz val="10"/>
        <color theme="0"/>
        <name val="Meiryo UI"/>
        <family val="3"/>
        <charset val="128"/>
        <scheme val="none"/>
      </font>
      <fill>
        <patternFill patternType="solid">
          <fgColor indexed="64"/>
          <bgColor theme="6"/>
        </patternFill>
      </fill>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border diagonalUp="0" diagonalDown="0">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0" tint="-0.49998474074526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0" tint="-0.49998474074526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0" tint="-0.49998474074526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Meiryo UI"/>
        <family val="3"/>
        <charset val="128"/>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border diagonalUp="0" diagonalDown="0" outline="0">
        <left/>
        <right style="thin">
          <color indexed="64"/>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font>
    </dxf>
    <dxf>
      <border outline="0">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6"/>
        </patternFill>
      </fill>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Meiryo UI"/>
        <family val="3"/>
        <charset val="128"/>
        <scheme val="none"/>
      </font>
      <fill>
        <patternFill patternType="solid">
          <fgColor indexed="64"/>
          <bgColor rgb="FFFFFFCC"/>
        </patternFill>
      </fill>
      <border diagonalUp="0" diagonalDown="0" outline="0">
        <left/>
        <right/>
        <top style="thin">
          <color indexed="64"/>
        </top>
        <bottom/>
      </border>
    </dxf>
    <dxf>
      <font>
        <b val="0"/>
        <i val="0"/>
        <strike val="0"/>
        <condense val="0"/>
        <extend val="0"/>
        <outline val="0"/>
        <shadow val="0"/>
        <u val="none"/>
        <vertAlign val="baseline"/>
        <sz val="10"/>
        <color auto="1"/>
        <name val="Meiryo UI"/>
        <family val="3"/>
        <charset val="128"/>
        <scheme val="none"/>
      </font>
      <fill>
        <patternFill patternType="solid">
          <fgColor indexed="64"/>
          <bgColor rgb="FFFFFFCC"/>
        </patternFill>
      </fill>
      <border diagonalUp="0" diagonalDown="0" outline="0">
        <left/>
        <right style="thin">
          <color indexed="64"/>
        </right>
        <top style="thin">
          <color indexed="64"/>
        </top>
        <bottom/>
      </border>
    </dxf>
    <dxf>
      <font>
        <b val="0"/>
        <i val="0"/>
        <strike val="0"/>
        <condense val="0"/>
        <extend val="0"/>
        <outline val="0"/>
        <shadow val="0"/>
        <u val="none"/>
        <vertAlign val="baseline"/>
        <sz val="10"/>
        <color auto="1"/>
        <name val="Meiryo UI"/>
        <family val="3"/>
        <charset val="128"/>
        <scheme val="none"/>
      </font>
      <fill>
        <patternFill patternType="none">
          <fgColor indexed="64"/>
          <bgColor auto="1"/>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0" tint="-0.49998474074526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border diagonalUp="0" diagonalDown="0" outline="0">
        <left/>
        <right/>
        <top style="thin">
          <color indexed="64"/>
        </top>
        <bottom/>
      </border>
    </dxf>
    <dxf>
      <border outline="0">
        <top style="thin">
          <color indexed="64"/>
        </top>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10"/>
        <color auto="1"/>
        <name val="Meiryo UI"/>
        <family val="3"/>
        <charset val="128"/>
        <scheme val="none"/>
      </font>
      <fill>
        <patternFill patternType="solid">
          <fgColor indexed="64"/>
          <bgColor theme="5" tint="0.79998168889431442"/>
        </patternFill>
      </fill>
    </dxf>
    <dxf>
      <border outline="0">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6"/>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0" tint="-0.49998474074526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0" tint="-0.499984740745262"/>
        </patternFill>
      </fill>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Meiryo UI"/>
        <family val="3"/>
        <charset val="128"/>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0" tint="-0.49998474074526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0" tint="-0.499984740745262"/>
        </patternFill>
      </fill>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0" tint="-0.499984740745262"/>
        </patternFill>
      </fill>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font>
    </dxf>
    <dxf>
      <border outline="0">
        <bottom style="thin">
          <color indexed="64"/>
        </bottom>
      </border>
    </dxf>
    <dxf>
      <font>
        <b val="0"/>
        <i val="0"/>
        <strike val="0"/>
        <condense val="0"/>
        <extend val="0"/>
        <outline val="0"/>
        <shadow val="0"/>
        <u val="none"/>
        <vertAlign val="baseline"/>
        <sz val="10"/>
        <color theme="0"/>
        <name val="Meiryo UI"/>
        <family val="3"/>
        <charset val="128"/>
        <scheme val="none"/>
      </font>
      <fill>
        <patternFill patternType="solid">
          <fgColor indexed="64"/>
          <bgColor theme="6"/>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Meiryo UI"/>
        <family val="3"/>
        <charset val="128"/>
        <scheme val="none"/>
      </font>
      <numFmt numFmtId="0" formatCode="General"/>
      <fill>
        <patternFill patternType="solid">
          <fgColor indexed="64"/>
          <bgColor rgb="FFFFFFCC"/>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numFmt numFmtId="0" formatCode="General"/>
      <fill>
        <patternFill patternType="solid">
          <fgColor indexed="64"/>
          <bgColor rgb="FFFFFFCC"/>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0" tint="-0.49998474074526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numFmt numFmtId="0" formatCode="General"/>
      <fill>
        <patternFill patternType="solid">
          <fgColor indexed="64"/>
          <bgColor rgb="FFFFFFCC"/>
        </patternFill>
      </fill>
      <alignment horizontal="center" vertical="center" textRotation="0"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font>
    </dxf>
    <dxf>
      <border outline="0">
        <bottom style="thin">
          <color indexed="64"/>
        </bottom>
      </border>
    </dxf>
    <dxf>
      <font>
        <b val="0"/>
        <i val="0"/>
        <strike val="0"/>
        <condense val="0"/>
        <extend val="0"/>
        <outline val="0"/>
        <shadow val="0"/>
        <u val="none"/>
        <vertAlign val="baseline"/>
        <sz val="10"/>
        <color theme="0"/>
        <name val="Meiryo UI"/>
        <family val="3"/>
        <charset val="128"/>
        <scheme val="none"/>
      </font>
      <fill>
        <patternFill patternType="solid">
          <fgColor indexed="64"/>
          <bgColor theme="6"/>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Meiryo UI"/>
        <family val="3"/>
        <charset val="128"/>
        <scheme val="none"/>
      </font>
      <numFmt numFmtId="0" formatCode="General"/>
      <fill>
        <patternFill patternType="solid">
          <fgColor indexed="64"/>
          <bgColor rgb="FFFFFFCC"/>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numFmt numFmtId="0" formatCode="General"/>
      <fill>
        <patternFill patternType="solid">
          <fgColor indexed="64"/>
          <bgColor rgb="FFFFFFCC"/>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0" tint="-0.49998474074526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numFmt numFmtId="0" formatCode="Genera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2" tint="-0.49998474074526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numFmt numFmtId="0" formatCode="General"/>
      <fill>
        <patternFill patternType="solid">
          <fgColor indexed="64"/>
          <bgColor rgb="FFFFFFCC"/>
        </patternFill>
      </fill>
      <alignment horizontal="center" vertical="center" textRotation="0"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font>
    </dxf>
    <dxf>
      <border outline="0">
        <bottom style="thin">
          <color indexed="64"/>
        </bottom>
      </border>
    </dxf>
    <dxf>
      <font>
        <b val="0"/>
        <i val="0"/>
        <strike val="0"/>
        <condense val="0"/>
        <extend val="0"/>
        <outline val="0"/>
        <shadow val="0"/>
        <u val="none"/>
        <vertAlign val="baseline"/>
        <sz val="10"/>
        <color auto="1"/>
        <name val="Meiryo UI"/>
        <family val="3"/>
        <charset val="128"/>
        <scheme val="none"/>
      </font>
      <fill>
        <patternFill patternType="solid">
          <fgColor indexed="64"/>
          <bgColor theme="6"/>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outline="0">
        <left style="thin">
          <color indexed="64"/>
        </left>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rgb="FFFFFFCC"/>
        </patternFill>
      </fill>
    </dxf>
    <dxf>
      <font>
        <b val="0"/>
        <i val="0"/>
        <strike val="0"/>
        <condense val="0"/>
        <extend val="0"/>
        <outline val="0"/>
        <shadow val="0"/>
        <u val="none"/>
        <vertAlign val="baseline"/>
        <sz val="10"/>
        <color theme="1"/>
        <name val="Meiryo UI"/>
        <family val="3"/>
        <charset val="128"/>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val="0"/>
        <i val="0"/>
        <strike val="0"/>
        <condense val="0"/>
        <extend val="0"/>
        <outline val="0"/>
        <shadow val="0"/>
        <u val="none"/>
        <vertAlign val="baseline"/>
        <sz val="10"/>
        <color theme="1"/>
        <name val="Meiryo UI"/>
        <family val="3"/>
        <charset val="128"/>
        <scheme val="none"/>
      </font>
      <fill>
        <patternFill patternType="solid">
          <fgColor indexed="64"/>
          <bgColor theme="6"/>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66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60</xdr:col>
      <xdr:colOff>49378</xdr:colOff>
      <xdr:row>28</xdr:row>
      <xdr:rowOff>27649</xdr:rowOff>
    </xdr:from>
    <xdr:to>
      <xdr:col>72</xdr:col>
      <xdr:colOff>83668</xdr:colOff>
      <xdr:row>30</xdr:row>
      <xdr:rowOff>57494</xdr:rowOff>
    </xdr:to>
    <xdr:sp macro="" textlink="">
      <xdr:nvSpPr>
        <xdr:cNvPr id="2" name="スライド番号プレースホルダー 3">
          <a:extLst>
            <a:ext uri="{FF2B5EF4-FFF2-40B4-BE49-F238E27FC236}">
              <a16:creationId xmlns:a16="http://schemas.microsoft.com/office/drawing/2014/main" id="{45EDC5A8-7D3B-45F7-BD4E-61AF2D969070}"/>
            </a:ext>
          </a:extLst>
        </xdr:cNvPr>
        <xdr:cNvSpPr>
          <a:spLocks noGrp="1"/>
        </xdr:cNvSpPr>
      </xdr:nvSpPr>
      <xdr:spPr>
        <a:xfrm>
          <a:off x="40397278" y="18170869"/>
          <a:ext cx="2411730" cy="426085"/>
        </a:xfrm>
        <a:prstGeom prst="rect">
          <a:avLst/>
        </a:prstGeom>
      </xdr:spPr>
      <xdr:txBody>
        <a:bodyPr vert="horz" wrap="none" lIns="91440" tIns="45720" rIns="91440" bIns="45720" rtlCol="0" anchor="ctr"/>
        <a:lstStyle>
          <a:defPPr>
            <a:defRPr lang="ja-JP"/>
          </a:defPPr>
          <a:lvl1pPr marL="0" algn="r" defTabSz="914400" rtl="0" eaLnBrk="1" latinLnBrk="0" hangingPunct="1">
            <a:defRPr kumimoji="1" sz="1200" kern="1200">
              <a:solidFill>
                <a:schemeClr val="tx1">
                  <a:tint val="75000"/>
                </a:schemeClr>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a:latin typeface="HGPｺﾞｼｯｸE" panose="020B0900000000000000" pitchFamily="50" charset="-128"/>
              <a:ea typeface="HGPｺﾞｼｯｸE" panose="020B0900000000000000" pitchFamily="50" charset="-128"/>
            </a:rPr>
            <a:t>2</a:t>
          </a:r>
        </a:p>
      </xdr:txBody>
    </xdr:sp>
    <xdr:clientData/>
  </xdr:twoCellAnchor>
  <xdr:twoCellAnchor>
    <xdr:from>
      <xdr:col>27</xdr:col>
      <xdr:colOff>219075</xdr:colOff>
      <xdr:row>2</xdr:row>
      <xdr:rowOff>95250</xdr:rowOff>
    </xdr:from>
    <xdr:to>
      <xdr:col>28</xdr:col>
      <xdr:colOff>1190625</xdr:colOff>
      <xdr:row>2</xdr:row>
      <xdr:rowOff>592455</xdr:rowOff>
    </xdr:to>
    <xdr:sp macro="" textlink="">
      <xdr:nvSpPr>
        <xdr:cNvPr id="3" name="正方形/長方形 2">
          <a:extLst>
            <a:ext uri="{FF2B5EF4-FFF2-40B4-BE49-F238E27FC236}">
              <a16:creationId xmlns:a16="http://schemas.microsoft.com/office/drawing/2014/main" id="{DF0146B4-46BC-4B32-A90F-3D1A021E6BAF}"/>
            </a:ext>
          </a:extLst>
        </xdr:cNvPr>
        <xdr:cNvSpPr/>
      </xdr:nvSpPr>
      <xdr:spPr>
        <a:xfrm>
          <a:off x="41679495" y="300990"/>
          <a:ext cx="2023110" cy="497205"/>
        </a:xfrm>
        <a:prstGeom prst="rect">
          <a:avLst/>
        </a:prstGeom>
        <a:solidFill>
          <a:srgbClr val="FF0000"/>
        </a:solidFill>
        <a:ln>
          <a:solidFill>
            <a:srgbClr val="FF0000"/>
          </a:solidFill>
        </a:ln>
      </xdr:spPr>
      <xdr:style>
        <a:lnRef idx="2">
          <a:schemeClr val="accent2"/>
        </a:lnRef>
        <a:fillRef idx="1">
          <a:schemeClr val="lt1"/>
        </a:fillRef>
        <a:effectRef idx="0">
          <a:schemeClr val="accent2"/>
        </a:effectRef>
        <a:fontRef idx="minor">
          <a:schemeClr val="dk1"/>
        </a:fontRef>
      </xdr:style>
      <xdr:txBody>
        <a:bodyPr wrap="square">
          <a:no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en-US" altLang="ja-JP" sz="1200" b="0" i="0">
              <a:solidFill>
                <a:schemeClr val="bg1"/>
              </a:solidFill>
              <a:effectLst/>
              <a:latin typeface="Meiryo UI" panose="020B0604030504040204" pitchFamily="50" charset="-128"/>
              <a:ea typeface="Meiryo UI" panose="020B0604030504040204" pitchFamily="50" charset="-128"/>
            </a:rPr>
            <a:t>Alps Alpine</a:t>
          </a:r>
          <a:r>
            <a:rPr lang="ja-JP" altLang="en-US" sz="1200" b="0" i="0">
              <a:solidFill>
                <a:schemeClr val="bg1"/>
              </a:solidFill>
              <a:effectLst/>
              <a:latin typeface="Meiryo UI" panose="020B0604030504040204" pitchFamily="50" charset="-128"/>
              <a:ea typeface="Meiryo UI" panose="020B0604030504040204" pitchFamily="50" charset="-128"/>
            </a:rPr>
            <a:t> </a:t>
          </a:r>
          <a:r>
            <a:rPr lang="en-US" altLang="ja-JP" sz="1200" b="0" i="0">
              <a:solidFill>
                <a:schemeClr val="bg1"/>
              </a:solidFill>
              <a:effectLst/>
              <a:latin typeface="Meiryo UI" panose="020B0604030504040204" pitchFamily="50" charset="-128"/>
              <a:ea typeface="Meiryo UI" panose="020B0604030504040204" pitchFamily="50" charset="-128"/>
            </a:rPr>
            <a:t>Internal</a:t>
          </a:r>
        </a:p>
        <a:p>
          <a:pPr algn="ctr"/>
          <a:r>
            <a:rPr lang="en-US" altLang="ja-JP" sz="800">
              <a:solidFill>
                <a:schemeClr val="bg1"/>
              </a:solidFill>
              <a:latin typeface="Meiryo UI" panose="020B0604030504040204" pitchFamily="50" charset="-128"/>
              <a:ea typeface="Meiryo UI" panose="020B0604030504040204" pitchFamily="50" charset="-128"/>
            </a:rPr>
            <a:t>F</a:t>
          </a:r>
          <a:r>
            <a:rPr lang="en-US" altLang="ja-JP" sz="800" b="0" i="0">
              <a:solidFill>
                <a:schemeClr val="bg1"/>
              </a:solidFill>
              <a:effectLst/>
              <a:latin typeface="Meiryo UI" panose="020B0604030504040204" pitchFamily="50" charset="-128"/>
              <a:ea typeface="Meiryo UI" panose="020B0604030504040204" pitchFamily="50" charset="-128"/>
            </a:rPr>
            <a:t>or Internal Use Only</a:t>
          </a:r>
          <a:endParaRPr lang="ja-JP" altLang="en-US" sz="800">
            <a:solidFill>
              <a:schemeClr val="bg1"/>
            </a:solidFill>
            <a:latin typeface="Meiryo UI" panose="020B0604030504040204" pitchFamily="50" charset="-128"/>
            <a:ea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51</xdr:col>
      <xdr:colOff>49378</xdr:colOff>
      <xdr:row>34</xdr:row>
      <xdr:rowOff>27649</xdr:rowOff>
    </xdr:from>
    <xdr:to>
      <xdr:col>63</xdr:col>
      <xdr:colOff>83668</xdr:colOff>
      <xdr:row>36</xdr:row>
      <xdr:rowOff>57494</xdr:rowOff>
    </xdr:to>
    <xdr:sp macro="" textlink="">
      <xdr:nvSpPr>
        <xdr:cNvPr id="2" name="スライド番号プレースホルダー 3">
          <a:extLst>
            <a:ext uri="{FF2B5EF4-FFF2-40B4-BE49-F238E27FC236}">
              <a16:creationId xmlns:a16="http://schemas.microsoft.com/office/drawing/2014/main" id="{9798721F-B2F8-4CEC-A002-1EC692C552A8}"/>
            </a:ext>
          </a:extLst>
        </xdr:cNvPr>
        <xdr:cNvSpPr>
          <a:spLocks noGrp="1"/>
        </xdr:cNvSpPr>
      </xdr:nvSpPr>
      <xdr:spPr>
        <a:xfrm>
          <a:off x="40397278" y="18170869"/>
          <a:ext cx="2411730" cy="426085"/>
        </a:xfrm>
        <a:prstGeom prst="rect">
          <a:avLst/>
        </a:prstGeom>
      </xdr:spPr>
      <xdr:txBody>
        <a:bodyPr vert="horz" wrap="none" lIns="91440" tIns="45720" rIns="91440" bIns="45720" rtlCol="0" anchor="ctr"/>
        <a:lstStyle>
          <a:defPPr>
            <a:defRPr lang="ja-JP"/>
          </a:defPPr>
          <a:lvl1pPr marL="0" algn="r" defTabSz="914400" rtl="0" eaLnBrk="1" latinLnBrk="0" hangingPunct="1">
            <a:defRPr kumimoji="1" sz="1200" kern="1200">
              <a:solidFill>
                <a:schemeClr val="tx1">
                  <a:tint val="75000"/>
                </a:schemeClr>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a:latin typeface="HGPｺﾞｼｯｸE" panose="020B0900000000000000" pitchFamily="50" charset="-128"/>
              <a:ea typeface="HGPｺﾞｼｯｸE" panose="020B0900000000000000" pitchFamily="50" charset="-128"/>
            </a:rPr>
            <a:t>2</a:t>
          </a:r>
        </a:p>
      </xdr:txBody>
    </xdr:sp>
    <xdr:clientData/>
  </xdr:twoCellAnchor>
  <xdr:twoCellAnchor>
    <xdr:from>
      <xdr:col>27</xdr:col>
      <xdr:colOff>396240</xdr:colOff>
      <xdr:row>2</xdr:row>
      <xdr:rowOff>97155</xdr:rowOff>
    </xdr:from>
    <xdr:to>
      <xdr:col>28</xdr:col>
      <xdr:colOff>1041338</xdr:colOff>
      <xdr:row>2</xdr:row>
      <xdr:rowOff>581025</xdr:rowOff>
    </xdr:to>
    <xdr:sp macro="" textlink="">
      <xdr:nvSpPr>
        <xdr:cNvPr id="3" name="正方形/長方形 2">
          <a:extLst>
            <a:ext uri="{FF2B5EF4-FFF2-40B4-BE49-F238E27FC236}">
              <a16:creationId xmlns:a16="http://schemas.microsoft.com/office/drawing/2014/main" id="{37520381-29B5-473E-ADD8-4B23EB990284}"/>
            </a:ext>
          </a:extLst>
        </xdr:cNvPr>
        <xdr:cNvSpPr/>
      </xdr:nvSpPr>
      <xdr:spPr>
        <a:xfrm>
          <a:off x="35958780" y="302895"/>
          <a:ext cx="1910018" cy="483870"/>
        </a:xfrm>
        <a:prstGeom prst="rect">
          <a:avLst/>
        </a:prstGeom>
        <a:solidFill>
          <a:srgbClr val="FF0000"/>
        </a:solidFill>
        <a:ln>
          <a:solidFill>
            <a:srgbClr val="FF0000"/>
          </a:solidFill>
        </a:ln>
      </xdr:spPr>
      <xdr:style>
        <a:lnRef idx="2">
          <a:schemeClr val="accent2"/>
        </a:lnRef>
        <a:fillRef idx="1">
          <a:schemeClr val="lt1"/>
        </a:fillRef>
        <a:effectRef idx="0">
          <a:schemeClr val="accent2"/>
        </a:effectRef>
        <a:fontRef idx="minor">
          <a:schemeClr val="dk1"/>
        </a:fontRef>
      </xdr:style>
      <xdr:txBody>
        <a:bodyPr wrap="square">
          <a:no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en-US" altLang="ja-JP" sz="1200" b="0" i="0">
              <a:solidFill>
                <a:schemeClr val="bg1"/>
              </a:solidFill>
              <a:effectLst/>
              <a:latin typeface="Meiryo UI" panose="020B0604030504040204" pitchFamily="50" charset="-128"/>
              <a:ea typeface="Meiryo UI" panose="020B0604030504040204" pitchFamily="50" charset="-128"/>
            </a:rPr>
            <a:t>Alps Alpine</a:t>
          </a:r>
          <a:r>
            <a:rPr lang="ja-JP" altLang="en-US" sz="1200" b="0" i="0">
              <a:solidFill>
                <a:schemeClr val="bg1"/>
              </a:solidFill>
              <a:effectLst/>
              <a:latin typeface="Meiryo UI" panose="020B0604030504040204" pitchFamily="50" charset="-128"/>
              <a:ea typeface="Meiryo UI" panose="020B0604030504040204" pitchFamily="50" charset="-128"/>
            </a:rPr>
            <a:t> </a:t>
          </a:r>
          <a:r>
            <a:rPr lang="en-US" altLang="ja-JP" sz="1200" b="0" i="0">
              <a:solidFill>
                <a:schemeClr val="bg1"/>
              </a:solidFill>
              <a:effectLst/>
              <a:latin typeface="Meiryo UI" panose="020B0604030504040204" pitchFamily="50" charset="-128"/>
              <a:ea typeface="Meiryo UI" panose="020B0604030504040204" pitchFamily="50" charset="-128"/>
            </a:rPr>
            <a:t>Internal</a:t>
          </a:r>
        </a:p>
        <a:p>
          <a:pPr algn="ctr"/>
          <a:r>
            <a:rPr lang="en-US" altLang="ja-JP" sz="800">
              <a:solidFill>
                <a:schemeClr val="bg1"/>
              </a:solidFill>
              <a:latin typeface="Meiryo UI" panose="020B0604030504040204" pitchFamily="50" charset="-128"/>
              <a:ea typeface="Meiryo UI" panose="020B0604030504040204" pitchFamily="50" charset="-128"/>
            </a:rPr>
            <a:t>F</a:t>
          </a:r>
          <a:r>
            <a:rPr lang="en-US" altLang="ja-JP" sz="800" b="0" i="0">
              <a:solidFill>
                <a:schemeClr val="bg1"/>
              </a:solidFill>
              <a:effectLst/>
              <a:latin typeface="Meiryo UI" panose="020B0604030504040204" pitchFamily="50" charset="-128"/>
              <a:ea typeface="Meiryo UI" panose="020B0604030504040204" pitchFamily="50" charset="-128"/>
            </a:rPr>
            <a:t>or Internal Use Only</a:t>
          </a:r>
          <a:endParaRPr lang="ja-JP" altLang="en-US" sz="800">
            <a:solidFill>
              <a:schemeClr val="bg1"/>
            </a:solidFill>
            <a:latin typeface="Meiryo UI" panose="020B0604030504040204" pitchFamily="50" charset="-128"/>
            <a:ea typeface="Meiryo UI"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52</xdr:col>
      <xdr:colOff>0</xdr:colOff>
      <xdr:row>34</xdr:row>
      <xdr:rowOff>27649</xdr:rowOff>
    </xdr:from>
    <xdr:to>
      <xdr:col>54</xdr:col>
      <xdr:colOff>0</xdr:colOff>
      <xdr:row>36</xdr:row>
      <xdr:rowOff>57494</xdr:rowOff>
    </xdr:to>
    <xdr:sp macro="" textlink="">
      <xdr:nvSpPr>
        <xdr:cNvPr id="2" name="スライド番号プレースホルダー 3">
          <a:extLst>
            <a:ext uri="{FF2B5EF4-FFF2-40B4-BE49-F238E27FC236}">
              <a16:creationId xmlns:a16="http://schemas.microsoft.com/office/drawing/2014/main" id="{3BD381F3-2E30-42FB-B2F7-FD3B8B1B37EC}"/>
            </a:ext>
          </a:extLst>
        </xdr:cNvPr>
        <xdr:cNvSpPr>
          <a:spLocks noGrp="1"/>
        </xdr:cNvSpPr>
      </xdr:nvSpPr>
      <xdr:spPr>
        <a:xfrm>
          <a:off x="38473380" y="19900609"/>
          <a:ext cx="1836420" cy="426085"/>
        </a:xfrm>
        <a:prstGeom prst="rect">
          <a:avLst/>
        </a:prstGeom>
      </xdr:spPr>
      <xdr:txBody>
        <a:bodyPr vert="horz" wrap="none" lIns="91440" tIns="45720" rIns="91440" bIns="45720" rtlCol="0" anchor="ctr"/>
        <a:lstStyle>
          <a:defPPr>
            <a:defRPr lang="ja-JP"/>
          </a:defPPr>
          <a:lvl1pPr marL="0" algn="r" defTabSz="914400" rtl="0" eaLnBrk="1" latinLnBrk="0" hangingPunct="1">
            <a:defRPr kumimoji="1" sz="1200" kern="1200">
              <a:solidFill>
                <a:schemeClr val="tx1">
                  <a:tint val="75000"/>
                </a:schemeClr>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a:latin typeface="HGPｺﾞｼｯｸE" panose="020B0900000000000000" pitchFamily="50" charset="-128"/>
              <a:ea typeface="HGPｺﾞｼｯｸE" panose="020B0900000000000000" pitchFamily="50" charset="-128"/>
            </a:rPr>
            <a:t>2</a:t>
          </a:r>
        </a:p>
      </xdr:txBody>
    </xdr:sp>
    <xdr:clientData/>
  </xdr:twoCellAnchor>
  <xdr:twoCellAnchor>
    <xdr:from>
      <xdr:col>55</xdr:col>
      <xdr:colOff>49378</xdr:colOff>
      <xdr:row>31</xdr:row>
      <xdr:rowOff>27649</xdr:rowOff>
    </xdr:from>
    <xdr:to>
      <xdr:col>67</xdr:col>
      <xdr:colOff>83668</xdr:colOff>
      <xdr:row>33</xdr:row>
      <xdr:rowOff>57494</xdr:rowOff>
    </xdr:to>
    <xdr:sp macro="" textlink="">
      <xdr:nvSpPr>
        <xdr:cNvPr id="4" name="スライド番号プレースホルダー 3">
          <a:extLst>
            <a:ext uri="{FF2B5EF4-FFF2-40B4-BE49-F238E27FC236}">
              <a16:creationId xmlns:a16="http://schemas.microsoft.com/office/drawing/2014/main" id="{F51A1F60-1439-47EA-92B1-C456E9F36BCA}"/>
            </a:ext>
          </a:extLst>
        </xdr:cNvPr>
        <xdr:cNvSpPr>
          <a:spLocks noGrp="1"/>
        </xdr:cNvSpPr>
      </xdr:nvSpPr>
      <xdr:spPr>
        <a:xfrm>
          <a:off x="78556333" y="10712794"/>
          <a:ext cx="5606415" cy="485140"/>
        </a:xfrm>
        <a:prstGeom prst="rect">
          <a:avLst/>
        </a:prstGeom>
      </xdr:spPr>
      <xdr:txBody>
        <a:bodyPr vert="horz" wrap="none" lIns="91440" tIns="45720" rIns="91440" bIns="45720" rtlCol="0" anchor="ctr"/>
        <a:lstStyle>
          <a:defPPr>
            <a:defRPr lang="ja-JP"/>
          </a:defPPr>
          <a:lvl1pPr marL="0" algn="r" defTabSz="914400" rtl="0" eaLnBrk="1" latinLnBrk="0" hangingPunct="1">
            <a:defRPr kumimoji="1" sz="1200" kern="1200">
              <a:solidFill>
                <a:schemeClr val="tx1">
                  <a:tint val="75000"/>
                </a:schemeClr>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a:latin typeface="HGPｺﾞｼｯｸE" panose="020B0900000000000000" pitchFamily="50" charset="-128"/>
              <a:ea typeface="HGPｺﾞｼｯｸE" panose="020B0900000000000000" pitchFamily="50" charset="-128"/>
            </a:rPr>
            <a:t>2</a:t>
          </a:r>
        </a:p>
      </xdr:txBody>
    </xdr:sp>
    <xdr:clientData/>
  </xdr:twoCellAnchor>
  <xdr:twoCellAnchor>
    <xdr:from>
      <xdr:col>52</xdr:col>
      <xdr:colOff>0</xdr:colOff>
      <xdr:row>34</xdr:row>
      <xdr:rowOff>27649</xdr:rowOff>
    </xdr:from>
    <xdr:to>
      <xdr:col>54</xdr:col>
      <xdr:colOff>0</xdr:colOff>
      <xdr:row>36</xdr:row>
      <xdr:rowOff>57494</xdr:rowOff>
    </xdr:to>
    <xdr:sp macro="" textlink="">
      <xdr:nvSpPr>
        <xdr:cNvPr id="6" name="スライド番号プレースホルダー 3">
          <a:extLst>
            <a:ext uri="{FF2B5EF4-FFF2-40B4-BE49-F238E27FC236}">
              <a16:creationId xmlns:a16="http://schemas.microsoft.com/office/drawing/2014/main" id="{51695EE8-88E3-4B80-A0CD-AAD97480BA0A}"/>
            </a:ext>
          </a:extLst>
        </xdr:cNvPr>
        <xdr:cNvSpPr>
          <a:spLocks noGrp="1"/>
        </xdr:cNvSpPr>
      </xdr:nvSpPr>
      <xdr:spPr>
        <a:xfrm>
          <a:off x="74075925" y="11398594"/>
          <a:ext cx="3133725" cy="485140"/>
        </a:xfrm>
        <a:prstGeom prst="rect">
          <a:avLst/>
        </a:prstGeom>
      </xdr:spPr>
      <xdr:txBody>
        <a:bodyPr vert="horz" wrap="none" lIns="91440" tIns="45720" rIns="91440" bIns="45720" rtlCol="0" anchor="ctr"/>
        <a:lstStyle>
          <a:defPPr>
            <a:defRPr lang="ja-JP"/>
          </a:defPPr>
          <a:lvl1pPr marL="0" algn="r" defTabSz="914400" rtl="0" eaLnBrk="1" latinLnBrk="0" hangingPunct="1">
            <a:defRPr kumimoji="1" sz="1200" kern="1200">
              <a:solidFill>
                <a:schemeClr val="tx1">
                  <a:tint val="75000"/>
                </a:schemeClr>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a:latin typeface="HGPｺﾞｼｯｸE" panose="020B0900000000000000" pitchFamily="50" charset="-128"/>
              <a:ea typeface="HGPｺﾞｼｯｸE" panose="020B0900000000000000" pitchFamily="50" charset="-128"/>
            </a:rPr>
            <a:t>2</a:t>
          </a:r>
        </a:p>
      </xdr:txBody>
    </xdr:sp>
    <xdr:clientData/>
  </xdr:twoCellAnchor>
  <xdr:twoCellAnchor>
    <xdr:from>
      <xdr:col>35</xdr:col>
      <xdr:colOff>2028825</xdr:colOff>
      <xdr:row>2</xdr:row>
      <xdr:rowOff>129540</xdr:rowOff>
    </xdr:from>
    <xdr:to>
      <xdr:col>36</xdr:col>
      <xdr:colOff>1261109</xdr:colOff>
      <xdr:row>2</xdr:row>
      <xdr:rowOff>590550</xdr:rowOff>
    </xdr:to>
    <xdr:sp macro="" textlink="">
      <xdr:nvSpPr>
        <xdr:cNvPr id="3" name="正方形/長方形 2">
          <a:extLst>
            <a:ext uri="{FF2B5EF4-FFF2-40B4-BE49-F238E27FC236}">
              <a16:creationId xmlns:a16="http://schemas.microsoft.com/office/drawing/2014/main" id="{D5BCC2B1-04D8-4F88-85EC-C1915CD01D26}"/>
            </a:ext>
          </a:extLst>
        </xdr:cNvPr>
        <xdr:cNvSpPr/>
      </xdr:nvSpPr>
      <xdr:spPr>
        <a:xfrm>
          <a:off x="61769625" y="396240"/>
          <a:ext cx="1853564" cy="461010"/>
        </a:xfrm>
        <a:prstGeom prst="rect">
          <a:avLst/>
        </a:prstGeom>
        <a:solidFill>
          <a:srgbClr val="FF0000"/>
        </a:solidFill>
        <a:ln>
          <a:solidFill>
            <a:srgbClr val="FF0000"/>
          </a:solidFill>
        </a:ln>
      </xdr:spPr>
      <xdr:style>
        <a:lnRef idx="2">
          <a:schemeClr val="accent2"/>
        </a:lnRef>
        <a:fillRef idx="1">
          <a:schemeClr val="lt1"/>
        </a:fillRef>
        <a:effectRef idx="0">
          <a:schemeClr val="accent2"/>
        </a:effectRef>
        <a:fontRef idx="minor">
          <a:schemeClr val="dk1"/>
        </a:fontRef>
      </xdr:style>
      <xdr:txBody>
        <a:bodyPr wrap="square">
          <a:no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en-US" altLang="ja-JP" sz="1200" b="0" i="0">
              <a:solidFill>
                <a:schemeClr val="bg1"/>
              </a:solidFill>
              <a:effectLst/>
              <a:latin typeface="Meiryo UI" panose="020B0604030504040204" pitchFamily="50" charset="-128"/>
              <a:ea typeface="Meiryo UI" panose="020B0604030504040204" pitchFamily="50" charset="-128"/>
            </a:rPr>
            <a:t>Alps Alpine</a:t>
          </a:r>
          <a:r>
            <a:rPr lang="ja-JP" altLang="en-US" sz="1200" b="0" i="0">
              <a:solidFill>
                <a:schemeClr val="bg1"/>
              </a:solidFill>
              <a:effectLst/>
              <a:latin typeface="Meiryo UI" panose="020B0604030504040204" pitchFamily="50" charset="-128"/>
              <a:ea typeface="Meiryo UI" panose="020B0604030504040204" pitchFamily="50" charset="-128"/>
            </a:rPr>
            <a:t> </a:t>
          </a:r>
          <a:r>
            <a:rPr lang="en-US" altLang="ja-JP" sz="1200" b="0" i="0">
              <a:solidFill>
                <a:schemeClr val="bg1"/>
              </a:solidFill>
              <a:effectLst/>
              <a:latin typeface="Meiryo UI" panose="020B0604030504040204" pitchFamily="50" charset="-128"/>
              <a:ea typeface="Meiryo UI" panose="020B0604030504040204" pitchFamily="50" charset="-128"/>
            </a:rPr>
            <a:t>Internal</a:t>
          </a:r>
        </a:p>
        <a:p>
          <a:pPr algn="ctr"/>
          <a:r>
            <a:rPr lang="en-US" altLang="ja-JP" sz="800">
              <a:solidFill>
                <a:schemeClr val="bg1"/>
              </a:solidFill>
              <a:latin typeface="Meiryo UI" panose="020B0604030504040204" pitchFamily="50" charset="-128"/>
              <a:ea typeface="Meiryo UI" panose="020B0604030504040204" pitchFamily="50" charset="-128"/>
            </a:rPr>
            <a:t>F</a:t>
          </a:r>
          <a:r>
            <a:rPr lang="en-US" altLang="ja-JP" sz="800" b="0" i="0">
              <a:solidFill>
                <a:schemeClr val="bg1"/>
              </a:solidFill>
              <a:effectLst/>
              <a:latin typeface="Meiryo UI" panose="020B0604030504040204" pitchFamily="50" charset="-128"/>
              <a:ea typeface="Meiryo UI" panose="020B0604030504040204" pitchFamily="50" charset="-128"/>
            </a:rPr>
            <a:t>or Internal Use Only</a:t>
          </a:r>
          <a:endParaRPr lang="ja-JP" altLang="en-US" sz="800">
            <a:solidFill>
              <a:schemeClr val="bg1"/>
            </a:solidFill>
            <a:latin typeface="Meiryo UI" panose="020B0604030504040204" pitchFamily="50" charset="-128"/>
            <a:ea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59267</xdr:colOff>
      <xdr:row>2</xdr:row>
      <xdr:rowOff>179494</xdr:rowOff>
    </xdr:from>
    <xdr:to>
      <xdr:col>27</xdr:col>
      <xdr:colOff>879686</xdr:colOff>
      <xdr:row>2</xdr:row>
      <xdr:rowOff>712894</xdr:rowOff>
    </xdr:to>
    <xdr:sp macro="" textlink="">
      <xdr:nvSpPr>
        <xdr:cNvPr id="2" name="正方形/長方形 1">
          <a:extLst>
            <a:ext uri="{FF2B5EF4-FFF2-40B4-BE49-F238E27FC236}">
              <a16:creationId xmlns:a16="http://schemas.microsoft.com/office/drawing/2014/main" id="{CB5F45D5-032C-4AEE-8183-33A68C84CDE8}"/>
            </a:ext>
          </a:extLst>
        </xdr:cNvPr>
        <xdr:cNvSpPr/>
      </xdr:nvSpPr>
      <xdr:spPr>
        <a:xfrm>
          <a:off x="41740667" y="408094"/>
          <a:ext cx="1795779" cy="533400"/>
        </a:xfrm>
        <a:prstGeom prst="rect">
          <a:avLst/>
        </a:prstGeom>
        <a:solidFill>
          <a:srgbClr val="FF0000"/>
        </a:solidFill>
        <a:ln>
          <a:solidFill>
            <a:srgbClr val="FF0000"/>
          </a:solidFill>
        </a:ln>
      </xdr:spPr>
      <xdr:style>
        <a:lnRef idx="2">
          <a:schemeClr val="accent2"/>
        </a:lnRef>
        <a:fillRef idx="1">
          <a:schemeClr val="lt1"/>
        </a:fillRef>
        <a:effectRef idx="0">
          <a:schemeClr val="accent2"/>
        </a:effectRef>
        <a:fontRef idx="minor">
          <a:schemeClr val="dk1"/>
        </a:fontRef>
      </xdr:style>
      <xdr:txBody>
        <a:bodyPr wrap="square">
          <a:no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en-US" altLang="ja-JP" sz="1200" b="0" i="0">
              <a:solidFill>
                <a:schemeClr val="bg1"/>
              </a:solidFill>
              <a:effectLst/>
              <a:latin typeface="Meiryo UI" panose="020B0604030504040204" pitchFamily="50" charset="-128"/>
              <a:ea typeface="Meiryo UI" panose="020B0604030504040204" pitchFamily="50" charset="-128"/>
            </a:rPr>
            <a:t>Alps Alpine</a:t>
          </a:r>
          <a:r>
            <a:rPr lang="ja-JP" altLang="en-US" sz="1200" b="0" i="0">
              <a:solidFill>
                <a:schemeClr val="bg1"/>
              </a:solidFill>
              <a:effectLst/>
              <a:latin typeface="Meiryo UI" panose="020B0604030504040204" pitchFamily="50" charset="-128"/>
              <a:ea typeface="Meiryo UI" panose="020B0604030504040204" pitchFamily="50" charset="-128"/>
            </a:rPr>
            <a:t> </a:t>
          </a:r>
          <a:r>
            <a:rPr lang="en-US" altLang="ja-JP" sz="1200" b="0" i="0">
              <a:solidFill>
                <a:schemeClr val="bg1"/>
              </a:solidFill>
              <a:effectLst/>
              <a:latin typeface="Meiryo UI" panose="020B0604030504040204" pitchFamily="50" charset="-128"/>
              <a:ea typeface="Meiryo UI" panose="020B0604030504040204" pitchFamily="50" charset="-128"/>
            </a:rPr>
            <a:t>Internal</a:t>
          </a:r>
        </a:p>
        <a:p>
          <a:pPr algn="ctr"/>
          <a:r>
            <a:rPr lang="en-US" altLang="ja-JP" sz="800">
              <a:solidFill>
                <a:schemeClr val="bg1"/>
              </a:solidFill>
              <a:latin typeface="Meiryo UI" panose="020B0604030504040204" pitchFamily="50" charset="-128"/>
              <a:ea typeface="Meiryo UI" panose="020B0604030504040204" pitchFamily="50" charset="-128"/>
            </a:rPr>
            <a:t>F</a:t>
          </a:r>
          <a:r>
            <a:rPr lang="en-US" altLang="ja-JP" sz="800" b="0" i="0">
              <a:solidFill>
                <a:schemeClr val="bg1"/>
              </a:solidFill>
              <a:effectLst/>
              <a:latin typeface="Meiryo UI" panose="020B0604030504040204" pitchFamily="50" charset="-128"/>
              <a:ea typeface="Meiryo UI" panose="020B0604030504040204" pitchFamily="50" charset="-128"/>
            </a:rPr>
            <a:t>or Internal Use Only</a:t>
          </a:r>
          <a:endParaRPr lang="ja-JP" altLang="en-US" sz="800">
            <a:solidFill>
              <a:schemeClr val="bg1"/>
            </a:solidFill>
            <a:latin typeface="Meiryo UI" panose="020B0604030504040204" pitchFamily="50" charset="-128"/>
            <a:ea typeface="Meiryo UI" panose="020B0604030504040204" pitchFamily="50"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23</xdr:col>
      <xdr:colOff>571500</xdr:colOff>
      <xdr:row>2</xdr:row>
      <xdr:rowOff>150018</xdr:rowOff>
    </xdr:from>
    <xdr:to>
      <xdr:col>24</xdr:col>
      <xdr:colOff>942975</xdr:colOff>
      <xdr:row>2</xdr:row>
      <xdr:rowOff>683418</xdr:rowOff>
    </xdr:to>
    <xdr:sp macro="" textlink="">
      <xdr:nvSpPr>
        <xdr:cNvPr id="2" name="正方形/長方形 1">
          <a:extLst>
            <a:ext uri="{FF2B5EF4-FFF2-40B4-BE49-F238E27FC236}">
              <a16:creationId xmlns:a16="http://schemas.microsoft.com/office/drawing/2014/main" id="{ABE6F9DB-B747-4A3C-93D7-CFA8527BCCF3}"/>
            </a:ext>
          </a:extLst>
        </xdr:cNvPr>
        <xdr:cNvSpPr/>
      </xdr:nvSpPr>
      <xdr:spPr>
        <a:xfrm>
          <a:off x="30175200" y="416718"/>
          <a:ext cx="1933575" cy="533400"/>
        </a:xfrm>
        <a:prstGeom prst="rect">
          <a:avLst/>
        </a:prstGeom>
        <a:solidFill>
          <a:srgbClr val="FF0000"/>
        </a:solidFill>
        <a:ln>
          <a:solidFill>
            <a:srgbClr val="FF0000"/>
          </a:solidFill>
        </a:ln>
      </xdr:spPr>
      <xdr:style>
        <a:lnRef idx="2">
          <a:schemeClr val="accent2"/>
        </a:lnRef>
        <a:fillRef idx="1">
          <a:schemeClr val="lt1"/>
        </a:fillRef>
        <a:effectRef idx="0">
          <a:schemeClr val="accent2"/>
        </a:effectRef>
        <a:fontRef idx="minor">
          <a:schemeClr val="dk1"/>
        </a:fontRef>
      </xdr:style>
      <xdr:txBody>
        <a:bodyPr wrap="square">
          <a:no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en-US" altLang="ja-JP" sz="1200" b="0" i="0">
              <a:solidFill>
                <a:schemeClr val="bg1"/>
              </a:solidFill>
              <a:effectLst/>
              <a:latin typeface="Meiryo UI" panose="020B0604030504040204" pitchFamily="50" charset="-128"/>
              <a:ea typeface="Meiryo UI" panose="020B0604030504040204" pitchFamily="50" charset="-128"/>
            </a:rPr>
            <a:t>Alps Alpine</a:t>
          </a:r>
          <a:r>
            <a:rPr lang="ja-JP" altLang="en-US" sz="1200" b="0" i="0">
              <a:solidFill>
                <a:schemeClr val="bg1"/>
              </a:solidFill>
              <a:effectLst/>
              <a:latin typeface="Meiryo UI" panose="020B0604030504040204" pitchFamily="50" charset="-128"/>
              <a:ea typeface="Meiryo UI" panose="020B0604030504040204" pitchFamily="50" charset="-128"/>
            </a:rPr>
            <a:t> </a:t>
          </a:r>
          <a:r>
            <a:rPr lang="en-US" altLang="ja-JP" sz="1200" b="0" i="0">
              <a:solidFill>
                <a:schemeClr val="bg1"/>
              </a:solidFill>
              <a:effectLst/>
              <a:latin typeface="Meiryo UI" panose="020B0604030504040204" pitchFamily="50" charset="-128"/>
              <a:ea typeface="Meiryo UI" panose="020B0604030504040204" pitchFamily="50" charset="-128"/>
            </a:rPr>
            <a:t>Internal</a:t>
          </a:r>
        </a:p>
        <a:p>
          <a:pPr algn="ctr"/>
          <a:r>
            <a:rPr lang="en-US" altLang="ja-JP" sz="800">
              <a:solidFill>
                <a:schemeClr val="bg1"/>
              </a:solidFill>
              <a:latin typeface="Meiryo UI" panose="020B0604030504040204" pitchFamily="50" charset="-128"/>
              <a:ea typeface="Meiryo UI" panose="020B0604030504040204" pitchFamily="50" charset="-128"/>
            </a:rPr>
            <a:t>F</a:t>
          </a:r>
          <a:r>
            <a:rPr lang="en-US" altLang="ja-JP" sz="800" b="0" i="0">
              <a:solidFill>
                <a:schemeClr val="bg1"/>
              </a:solidFill>
              <a:effectLst/>
              <a:latin typeface="Meiryo UI" panose="020B0604030504040204" pitchFamily="50" charset="-128"/>
              <a:ea typeface="Meiryo UI" panose="020B0604030504040204" pitchFamily="50" charset="-128"/>
            </a:rPr>
            <a:t>or Internal Use Only</a:t>
          </a:r>
          <a:endParaRPr lang="ja-JP" altLang="en-US" sz="800">
            <a:solidFill>
              <a:schemeClr val="bg1"/>
            </a:solidFill>
            <a:latin typeface="Meiryo UI" panose="020B0604030504040204" pitchFamily="50" charset="-128"/>
            <a:ea typeface="Meiryo UI" panose="020B0604030504040204" pitchFamily="50" charset="-128"/>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37</xdr:col>
      <xdr:colOff>0</xdr:colOff>
      <xdr:row>33</xdr:row>
      <xdr:rowOff>27649</xdr:rowOff>
    </xdr:from>
    <xdr:to>
      <xdr:col>39</xdr:col>
      <xdr:colOff>0</xdr:colOff>
      <xdr:row>35</xdr:row>
      <xdr:rowOff>57494</xdr:rowOff>
    </xdr:to>
    <xdr:sp macro="" textlink="">
      <xdr:nvSpPr>
        <xdr:cNvPr id="2" name="スライド番号プレースホルダー 3">
          <a:extLst>
            <a:ext uri="{FF2B5EF4-FFF2-40B4-BE49-F238E27FC236}">
              <a16:creationId xmlns:a16="http://schemas.microsoft.com/office/drawing/2014/main" id="{34CEFB91-2A7A-4895-830D-37CB01AFBCA0}"/>
            </a:ext>
          </a:extLst>
        </xdr:cNvPr>
        <xdr:cNvSpPr>
          <a:spLocks noGrp="1"/>
        </xdr:cNvSpPr>
      </xdr:nvSpPr>
      <xdr:spPr>
        <a:xfrm>
          <a:off x="74020680" y="10802329"/>
          <a:ext cx="3131820" cy="487045"/>
        </a:xfrm>
        <a:prstGeom prst="rect">
          <a:avLst/>
        </a:prstGeom>
      </xdr:spPr>
      <xdr:txBody>
        <a:bodyPr vert="horz" wrap="none" lIns="91440" tIns="45720" rIns="91440" bIns="45720" rtlCol="0" anchor="ctr"/>
        <a:lstStyle>
          <a:defPPr>
            <a:defRPr lang="ja-JP"/>
          </a:defPPr>
          <a:lvl1pPr marL="0" algn="r" defTabSz="914400" rtl="0" eaLnBrk="1" latinLnBrk="0" hangingPunct="1">
            <a:defRPr kumimoji="1" sz="1200" kern="1200">
              <a:solidFill>
                <a:schemeClr val="tx1">
                  <a:tint val="75000"/>
                </a:schemeClr>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a:latin typeface="HGPｺﾞｼｯｸE" panose="020B0900000000000000" pitchFamily="50" charset="-128"/>
              <a:ea typeface="HGPｺﾞｼｯｸE" panose="020B0900000000000000" pitchFamily="50" charset="-128"/>
            </a:rPr>
            <a:t>2</a:t>
          </a:r>
        </a:p>
      </xdr:txBody>
    </xdr:sp>
    <xdr:clientData/>
  </xdr:twoCellAnchor>
  <xdr:twoCellAnchor>
    <xdr:from>
      <xdr:col>40</xdr:col>
      <xdr:colOff>49378</xdr:colOff>
      <xdr:row>30</xdr:row>
      <xdr:rowOff>27649</xdr:rowOff>
    </xdr:from>
    <xdr:to>
      <xdr:col>52</xdr:col>
      <xdr:colOff>83668</xdr:colOff>
      <xdr:row>32</xdr:row>
      <xdr:rowOff>57494</xdr:rowOff>
    </xdr:to>
    <xdr:sp macro="" textlink="">
      <xdr:nvSpPr>
        <xdr:cNvPr id="3" name="スライド番号プレースホルダー 3">
          <a:extLst>
            <a:ext uri="{FF2B5EF4-FFF2-40B4-BE49-F238E27FC236}">
              <a16:creationId xmlns:a16="http://schemas.microsoft.com/office/drawing/2014/main" id="{D8DA6685-1D88-4ADF-8504-576765563C37}"/>
            </a:ext>
          </a:extLst>
        </xdr:cNvPr>
        <xdr:cNvSpPr>
          <a:spLocks noGrp="1"/>
        </xdr:cNvSpPr>
      </xdr:nvSpPr>
      <xdr:spPr>
        <a:xfrm>
          <a:off x="78497278" y="10116529"/>
          <a:ext cx="5581650" cy="487045"/>
        </a:xfrm>
        <a:prstGeom prst="rect">
          <a:avLst/>
        </a:prstGeom>
      </xdr:spPr>
      <xdr:txBody>
        <a:bodyPr vert="horz" wrap="none" lIns="91440" tIns="45720" rIns="91440" bIns="45720" rtlCol="0" anchor="ctr"/>
        <a:lstStyle>
          <a:defPPr>
            <a:defRPr lang="ja-JP"/>
          </a:defPPr>
          <a:lvl1pPr marL="0" algn="r" defTabSz="914400" rtl="0" eaLnBrk="1" latinLnBrk="0" hangingPunct="1">
            <a:defRPr kumimoji="1" sz="1200" kern="1200">
              <a:solidFill>
                <a:schemeClr val="tx1">
                  <a:tint val="75000"/>
                </a:schemeClr>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a:latin typeface="HGPｺﾞｼｯｸE" panose="020B0900000000000000" pitchFamily="50" charset="-128"/>
              <a:ea typeface="HGPｺﾞｼｯｸE" panose="020B0900000000000000" pitchFamily="50" charset="-128"/>
            </a:rPr>
            <a:t>2</a:t>
          </a:r>
        </a:p>
      </xdr:txBody>
    </xdr:sp>
    <xdr:clientData/>
  </xdr:twoCellAnchor>
  <xdr:twoCellAnchor>
    <xdr:from>
      <xdr:col>37</xdr:col>
      <xdr:colOff>0</xdr:colOff>
      <xdr:row>33</xdr:row>
      <xdr:rowOff>27649</xdr:rowOff>
    </xdr:from>
    <xdr:to>
      <xdr:col>39</xdr:col>
      <xdr:colOff>0</xdr:colOff>
      <xdr:row>35</xdr:row>
      <xdr:rowOff>57494</xdr:rowOff>
    </xdr:to>
    <xdr:sp macro="" textlink="">
      <xdr:nvSpPr>
        <xdr:cNvPr id="4" name="スライド番号プレースホルダー 3">
          <a:extLst>
            <a:ext uri="{FF2B5EF4-FFF2-40B4-BE49-F238E27FC236}">
              <a16:creationId xmlns:a16="http://schemas.microsoft.com/office/drawing/2014/main" id="{7F0AF131-A662-4D75-84C4-CBFFADFD0C1F}"/>
            </a:ext>
          </a:extLst>
        </xdr:cNvPr>
        <xdr:cNvSpPr>
          <a:spLocks noGrp="1"/>
        </xdr:cNvSpPr>
      </xdr:nvSpPr>
      <xdr:spPr>
        <a:xfrm>
          <a:off x="74020680" y="10802329"/>
          <a:ext cx="3131820" cy="487045"/>
        </a:xfrm>
        <a:prstGeom prst="rect">
          <a:avLst/>
        </a:prstGeom>
      </xdr:spPr>
      <xdr:txBody>
        <a:bodyPr vert="horz" wrap="none" lIns="91440" tIns="45720" rIns="91440" bIns="45720" rtlCol="0" anchor="ctr"/>
        <a:lstStyle>
          <a:defPPr>
            <a:defRPr lang="ja-JP"/>
          </a:defPPr>
          <a:lvl1pPr marL="0" algn="r" defTabSz="914400" rtl="0" eaLnBrk="1" latinLnBrk="0" hangingPunct="1">
            <a:defRPr kumimoji="1" sz="1200" kern="1200">
              <a:solidFill>
                <a:schemeClr val="tx1">
                  <a:tint val="75000"/>
                </a:schemeClr>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a:latin typeface="HGPｺﾞｼｯｸE" panose="020B0900000000000000" pitchFamily="50" charset="-128"/>
              <a:ea typeface="HGPｺﾞｼｯｸE" panose="020B0900000000000000" pitchFamily="50" charset="-128"/>
            </a:rPr>
            <a:t>2</a:t>
          </a:r>
        </a:p>
      </xdr:txBody>
    </xdr:sp>
    <xdr:clientData/>
  </xdr:twoCellAnchor>
  <xdr:twoCellAnchor>
    <xdr:from>
      <xdr:col>20</xdr:col>
      <xdr:colOff>91440</xdr:colOff>
      <xdr:row>2</xdr:row>
      <xdr:rowOff>135255</xdr:rowOff>
    </xdr:from>
    <xdr:to>
      <xdr:col>21</xdr:col>
      <xdr:colOff>838200</xdr:colOff>
      <xdr:row>2</xdr:row>
      <xdr:rowOff>596265</xdr:rowOff>
    </xdr:to>
    <xdr:sp macro="" textlink="">
      <xdr:nvSpPr>
        <xdr:cNvPr id="5" name="正方形/長方形 4">
          <a:extLst>
            <a:ext uri="{FF2B5EF4-FFF2-40B4-BE49-F238E27FC236}">
              <a16:creationId xmlns:a16="http://schemas.microsoft.com/office/drawing/2014/main" id="{FEDCE4CB-C5C1-40D4-B4BF-226DC554F803}"/>
            </a:ext>
          </a:extLst>
        </xdr:cNvPr>
        <xdr:cNvSpPr/>
      </xdr:nvSpPr>
      <xdr:spPr>
        <a:xfrm>
          <a:off x="30281880" y="401955"/>
          <a:ext cx="1760220" cy="461010"/>
        </a:xfrm>
        <a:prstGeom prst="rect">
          <a:avLst/>
        </a:prstGeom>
        <a:solidFill>
          <a:srgbClr val="FF0000"/>
        </a:solidFill>
        <a:ln>
          <a:solidFill>
            <a:srgbClr val="FF0000"/>
          </a:solidFill>
        </a:ln>
      </xdr:spPr>
      <xdr:style>
        <a:lnRef idx="2">
          <a:schemeClr val="accent2"/>
        </a:lnRef>
        <a:fillRef idx="1">
          <a:schemeClr val="lt1"/>
        </a:fillRef>
        <a:effectRef idx="0">
          <a:schemeClr val="accent2"/>
        </a:effectRef>
        <a:fontRef idx="minor">
          <a:schemeClr val="dk1"/>
        </a:fontRef>
      </xdr:style>
      <xdr:txBody>
        <a:bodyPr wrap="square">
          <a:no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en-US" altLang="ja-JP" sz="1200" b="0" i="0">
              <a:solidFill>
                <a:schemeClr val="bg1"/>
              </a:solidFill>
              <a:effectLst/>
              <a:latin typeface="Meiryo UI" panose="020B0604030504040204" pitchFamily="50" charset="-128"/>
              <a:ea typeface="Meiryo UI" panose="020B0604030504040204" pitchFamily="50" charset="-128"/>
            </a:rPr>
            <a:t>Alps Alpine</a:t>
          </a:r>
          <a:r>
            <a:rPr lang="ja-JP" altLang="en-US" sz="1200" b="0" i="0">
              <a:solidFill>
                <a:schemeClr val="bg1"/>
              </a:solidFill>
              <a:effectLst/>
              <a:latin typeface="Meiryo UI" panose="020B0604030504040204" pitchFamily="50" charset="-128"/>
              <a:ea typeface="Meiryo UI" panose="020B0604030504040204" pitchFamily="50" charset="-128"/>
            </a:rPr>
            <a:t> </a:t>
          </a:r>
          <a:r>
            <a:rPr lang="en-US" altLang="ja-JP" sz="1200" b="0" i="0">
              <a:solidFill>
                <a:schemeClr val="bg1"/>
              </a:solidFill>
              <a:effectLst/>
              <a:latin typeface="Meiryo UI" panose="020B0604030504040204" pitchFamily="50" charset="-128"/>
              <a:ea typeface="Meiryo UI" panose="020B0604030504040204" pitchFamily="50" charset="-128"/>
            </a:rPr>
            <a:t>Internal</a:t>
          </a:r>
        </a:p>
        <a:p>
          <a:pPr algn="ctr"/>
          <a:r>
            <a:rPr lang="en-US" altLang="ja-JP" sz="800">
              <a:solidFill>
                <a:schemeClr val="bg1"/>
              </a:solidFill>
              <a:latin typeface="Meiryo UI" panose="020B0604030504040204" pitchFamily="50" charset="-128"/>
              <a:ea typeface="Meiryo UI" panose="020B0604030504040204" pitchFamily="50" charset="-128"/>
            </a:rPr>
            <a:t>F</a:t>
          </a:r>
          <a:r>
            <a:rPr lang="en-US" altLang="ja-JP" sz="800" b="0" i="0">
              <a:solidFill>
                <a:schemeClr val="bg1"/>
              </a:solidFill>
              <a:effectLst/>
              <a:latin typeface="Meiryo UI" panose="020B0604030504040204" pitchFamily="50" charset="-128"/>
              <a:ea typeface="Meiryo UI" panose="020B0604030504040204" pitchFamily="50" charset="-128"/>
            </a:rPr>
            <a:t>or Internal Use Only</a:t>
          </a:r>
          <a:endParaRPr lang="ja-JP" altLang="en-US" sz="800">
            <a:solidFill>
              <a:schemeClr val="bg1"/>
            </a:solidFill>
            <a:latin typeface="Meiryo UI" panose="020B0604030504040204" pitchFamily="50" charset="-128"/>
            <a:ea typeface="Meiryo UI" panose="020B0604030504040204" pitchFamily="50" charset="-128"/>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24</xdr:col>
      <xdr:colOff>28575</xdr:colOff>
      <xdr:row>2</xdr:row>
      <xdr:rowOff>57150</xdr:rowOff>
    </xdr:from>
    <xdr:to>
      <xdr:col>25</xdr:col>
      <xdr:colOff>1007047</xdr:colOff>
      <xdr:row>2</xdr:row>
      <xdr:rowOff>628650</xdr:rowOff>
    </xdr:to>
    <xdr:sp macro="" textlink="">
      <xdr:nvSpPr>
        <xdr:cNvPr id="2" name="正方形/長方形 1">
          <a:extLst>
            <a:ext uri="{FF2B5EF4-FFF2-40B4-BE49-F238E27FC236}">
              <a16:creationId xmlns:a16="http://schemas.microsoft.com/office/drawing/2014/main" id="{D08BC5B7-9C44-4A9E-A3A2-04A743C8623D}"/>
            </a:ext>
          </a:extLst>
        </xdr:cNvPr>
        <xdr:cNvSpPr/>
      </xdr:nvSpPr>
      <xdr:spPr>
        <a:xfrm>
          <a:off x="42959655" y="323850"/>
          <a:ext cx="2007172" cy="571500"/>
        </a:xfrm>
        <a:prstGeom prst="rect">
          <a:avLst/>
        </a:prstGeom>
        <a:solidFill>
          <a:srgbClr val="FF0000"/>
        </a:solidFill>
        <a:ln>
          <a:solidFill>
            <a:srgbClr val="FF0000"/>
          </a:solidFill>
        </a:ln>
      </xdr:spPr>
      <xdr:style>
        <a:lnRef idx="2">
          <a:schemeClr val="accent2"/>
        </a:lnRef>
        <a:fillRef idx="1">
          <a:schemeClr val="lt1"/>
        </a:fillRef>
        <a:effectRef idx="0">
          <a:schemeClr val="accent2"/>
        </a:effectRef>
        <a:fontRef idx="minor">
          <a:schemeClr val="dk1"/>
        </a:fontRef>
      </xdr:style>
      <xdr:txBody>
        <a:bodyPr wrap="square">
          <a:no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en-US" altLang="ja-JP" sz="1200" b="0" i="0">
              <a:solidFill>
                <a:schemeClr val="bg1"/>
              </a:solidFill>
              <a:effectLst/>
              <a:latin typeface="Meiryo UI" panose="020B0604030504040204" pitchFamily="50" charset="-128"/>
              <a:ea typeface="Meiryo UI" panose="020B0604030504040204" pitchFamily="50" charset="-128"/>
            </a:rPr>
            <a:t>Alps Alpine</a:t>
          </a:r>
          <a:r>
            <a:rPr lang="ja-JP" altLang="en-US" sz="1200" b="0" i="0">
              <a:solidFill>
                <a:schemeClr val="bg1"/>
              </a:solidFill>
              <a:effectLst/>
              <a:latin typeface="Meiryo UI" panose="020B0604030504040204" pitchFamily="50" charset="-128"/>
              <a:ea typeface="Meiryo UI" panose="020B0604030504040204" pitchFamily="50" charset="-128"/>
            </a:rPr>
            <a:t> </a:t>
          </a:r>
          <a:r>
            <a:rPr lang="en-US" altLang="ja-JP" sz="1200" b="0" i="0">
              <a:solidFill>
                <a:schemeClr val="bg1"/>
              </a:solidFill>
              <a:effectLst/>
              <a:latin typeface="Meiryo UI" panose="020B0604030504040204" pitchFamily="50" charset="-128"/>
              <a:ea typeface="Meiryo UI" panose="020B0604030504040204" pitchFamily="50" charset="-128"/>
            </a:rPr>
            <a:t>Internal</a:t>
          </a:r>
        </a:p>
        <a:p>
          <a:pPr algn="ctr"/>
          <a:r>
            <a:rPr lang="en-US" altLang="ja-JP" sz="800">
              <a:solidFill>
                <a:schemeClr val="bg1"/>
              </a:solidFill>
              <a:latin typeface="Meiryo UI" panose="020B0604030504040204" pitchFamily="50" charset="-128"/>
              <a:ea typeface="Meiryo UI" panose="020B0604030504040204" pitchFamily="50" charset="-128"/>
            </a:rPr>
            <a:t>F</a:t>
          </a:r>
          <a:r>
            <a:rPr lang="en-US" altLang="ja-JP" sz="800" b="0" i="0">
              <a:solidFill>
                <a:schemeClr val="bg1"/>
              </a:solidFill>
              <a:effectLst/>
              <a:latin typeface="Meiryo UI" panose="020B0604030504040204" pitchFamily="50" charset="-128"/>
              <a:ea typeface="Meiryo UI" panose="020B0604030504040204" pitchFamily="50" charset="-128"/>
            </a:rPr>
            <a:t>or Internal Use Only</a:t>
          </a:r>
          <a:endParaRPr lang="ja-JP" altLang="en-US" sz="800">
            <a:solidFill>
              <a:schemeClr val="bg1"/>
            </a:solidFill>
            <a:latin typeface="Meiryo UI" panose="020B0604030504040204" pitchFamily="50" charset="-128"/>
            <a:ea typeface="Meiryo UI" panose="020B0604030504040204" pitchFamily="50"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27</xdr:col>
      <xdr:colOff>49378</xdr:colOff>
      <xdr:row>12</xdr:row>
      <xdr:rowOff>27649</xdr:rowOff>
    </xdr:from>
    <xdr:to>
      <xdr:col>39</xdr:col>
      <xdr:colOff>83668</xdr:colOff>
      <xdr:row>14</xdr:row>
      <xdr:rowOff>57494</xdr:rowOff>
    </xdr:to>
    <xdr:sp macro="" textlink="">
      <xdr:nvSpPr>
        <xdr:cNvPr id="2" name="スライド番号プレースホルダー 3">
          <a:extLst>
            <a:ext uri="{FF2B5EF4-FFF2-40B4-BE49-F238E27FC236}">
              <a16:creationId xmlns:a16="http://schemas.microsoft.com/office/drawing/2014/main" id="{7A62DC86-0FE0-40C8-9DA2-34E65CF68FBE}"/>
            </a:ext>
          </a:extLst>
        </xdr:cNvPr>
        <xdr:cNvSpPr>
          <a:spLocks noGrp="1"/>
        </xdr:cNvSpPr>
      </xdr:nvSpPr>
      <xdr:spPr>
        <a:xfrm>
          <a:off x="17240098" y="15991549"/>
          <a:ext cx="2411730" cy="426085"/>
        </a:xfrm>
        <a:prstGeom prst="rect">
          <a:avLst/>
        </a:prstGeom>
      </xdr:spPr>
      <xdr:txBody>
        <a:bodyPr vert="horz" wrap="none" lIns="91440" tIns="45720" rIns="91440" bIns="45720" rtlCol="0" anchor="ctr"/>
        <a:lstStyle>
          <a:defPPr>
            <a:defRPr lang="ja-JP"/>
          </a:defPPr>
          <a:lvl1pPr marL="0" algn="r" defTabSz="914400" rtl="0" eaLnBrk="1" latinLnBrk="0" hangingPunct="1">
            <a:defRPr kumimoji="1" sz="1200" kern="1200">
              <a:solidFill>
                <a:schemeClr val="tx1">
                  <a:tint val="75000"/>
                </a:schemeClr>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a:latin typeface="HGPｺﾞｼｯｸE" panose="020B0900000000000000" pitchFamily="50" charset="-128"/>
              <a:ea typeface="HGPｺﾞｼｯｸE" panose="020B0900000000000000" pitchFamily="50" charset="-128"/>
            </a:rPr>
            <a:t>2</a:t>
          </a:r>
        </a:p>
      </xdr:txBody>
    </xdr:sp>
    <xdr:clientData/>
  </xdr:twoCellAnchor>
  <xdr:twoCellAnchor>
    <xdr:from>
      <xdr:col>12</xdr:col>
      <xdr:colOff>381000</xdr:colOff>
      <xdr:row>2</xdr:row>
      <xdr:rowOff>133350</xdr:rowOff>
    </xdr:from>
    <xdr:to>
      <xdr:col>14</xdr:col>
      <xdr:colOff>2857</xdr:colOff>
      <xdr:row>2</xdr:row>
      <xdr:rowOff>609600</xdr:rowOff>
    </xdr:to>
    <xdr:sp macro="" textlink="">
      <xdr:nvSpPr>
        <xdr:cNvPr id="3" name="正方形/長方形 2">
          <a:extLst>
            <a:ext uri="{FF2B5EF4-FFF2-40B4-BE49-F238E27FC236}">
              <a16:creationId xmlns:a16="http://schemas.microsoft.com/office/drawing/2014/main" id="{156A41EA-915E-40E7-B5CA-8609455CAACD}"/>
            </a:ext>
          </a:extLst>
        </xdr:cNvPr>
        <xdr:cNvSpPr/>
      </xdr:nvSpPr>
      <xdr:spPr>
        <a:xfrm>
          <a:off x="20101560" y="331470"/>
          <a:ext cx="1808797" cy="476250"/>
        </a:xfrm>
        <a:prstGeom prst="rect">
          <a:avLst/>
        </a:prstGeom>
        <a:solidFill>
          <a:srgbClr val="FF0000"/>
        </a:solidFill>
        <a:ln>
          <a:solidFill>
            <a:srgbClr val="FF0000"/>
          </a:solidFill>
        </a:ln>
      </xdr:spPr>
      <xdr:style>
        <a:lnRef idx="2">
          <a:schemeClr val="accent2"/>
        </a:lnRef>
        <a:fillRef idx="1">
          <a:schemeClr val="lt1"/>
        </a:fillRef>
        <a:effectRef idx="0">
          <a:schemeClr val="accent2"/>
        </a:effectRef>
        <a:fontRef idx="minor">
          <a:schemeClr val="dk1"/>
        </a:fontRef>
      </xdr:style>
      <xdr:txBody>
        <a:bodyPr wrap="square">
          <a:no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en-US" altLang="ja-JP" sz="1200" b="0" i="0">
              <a:solidFill>
                <a:schemeClr val="bg1"/>
              </a:solidFill>
              <a:effectLst/>
              <a:latin typeface="Meiryo UI" panose="020B0604030504040204" pitchFamily="50" charset="-128"/>
              <a:ea typeface="Meiryo UI" panose="020B0604030504040204" pitchFamily="50" charset="-128"/>
            </a:rPr>
            <a:t>Alps Alpine</a:t>
          </a:r>
          <a:r>
            <a:rPr lang="ja-JP" altLang="en-US" sz="1200" b="0" i="0">
              <a:solidFill>
                <a:schemeClr val="bg1"/>
              </a:solidFill>
              <a:effectLst/>
              <a:latin typeface="Meiryo UI" panose="020B0604030504040204" pitchFamily="50" charset="-128"/>
              <a:ea typeface="Meiryo UI" panose="020B0604030504040204" pitchFamily="50" charset="-128"/>
            </a:rPr>
            <a:t> </a:t>
          </a:r>
          <a:r>
            <a:rPr lang="en-US" altLang="ja-JP" sz="1200" b="0" i="0">
              <a:solidFill>
                <a:schemeClr val="bg1"/>
              </a:solidFill>
              <a:effectLst/>
              <a:latin typeface="Meiryo UI" panose="020B0604030504040204" pitchFamily="50" charset="-128"/>
              <a:ea typeface="Meiryo UI" panose="020B0604030504040204" pitchFamily="50" charset="-128"/>
            </a:rPr>
            <a:t>Internal</a:t>
          </a:r>
        </a:p>
        <a:p>
          <a:pPr algn="ctr"/>
          <a:r>
            <a:rPr lang="en-US" altLang="ja-JP" sz="800">
              <a:solidFill>
                <a:schemeClr val="bg1"/>
              </a:solidFill>
              <a:latin typeface="Meiryo UI" panose="020B0604030504040204" pitchFamily="50" charset="-128"/>
              <a:ea typeface="Meiryo UI" panose="020B0604030504040204" pitchFamily="50" charset="-128"/>
            </a:rPr>
            <a:t>F</a:t>
          </a:r>
          <a:r>
            <a:rPr lang="en-US" altLang="ja-JP" sz="800" b="0" i="0">
              <a:solidFill>
                <a:schemeClr val="bg1"/>
              </a:solidFill>
              <a:effectLst/>
              <a:latin typeface="Meiryo UI" panose="020B0604030504040204" pitchFamily="50" charset="-128"/>
              <a:ea typeface="Meiryo UI" panose="020B0604030504040204" pitchFamily="50" charset="-128"/>
            </a:rPr>
            <a:t>or Internal Use Only</a:t>
          </a:r>
          <a:endParaRPr lang="ja-JP" altLang="en-US" sz="800">
            <a:solidFill>
              <a:schemeClr val="bg1"/>
            </a:solidFill>
            <a:latin typeface="Meiryo UI" panose="020B0604030504040204" pitchFamily="50" charset="-128"/>
            <a:ea typeface="Meiryo UI" panose="020B0604030504040204"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12</xdr:col>
      <xdr:colOff>266700</xdr:colOff>
      <xdr:row>2</xdr:row>
      <xdr:rowOff>114300</xdr:rowOff>
    </xdr:from>
    <xdr:to>
      <xdr:col>13</xdr:col>
      <xdr:colOff>876079</xdr:colOff>
      <xdr:row>2</xdr:row>
      <xdr:rowOff>666750</xdr:rowOff>
    </xdr:to>
    <xdr:sp macro="" textlink="">
      <xdr:nvSpPr>
        <xdr:cNvPr id="2" name="正方形/長方形 1">
          <a:extLst>
            <a:ext uri="{FF2B5EF4-FFF2-40B4-BE49-F238E27FC236}">
              <a16:creationId xmlns:a16="http://schemas.microsoft.com/office/drawing/2014/main" id="{33A92770-1414-43BE-A23A-A1644EDB63D2}"/>
            </a:ext>
          </a:extLst>
        </xdr:cNvPr>
        <xdr:cNvSpPr/>
      </xdr:nvSpPr>
      <xdr:spPr>
        <a:xfrm>
          <a:off x="25976580" y="312420"/>
          <a:ext cx="1683799" cy="552450"/>
        </a:xfrm>
        <a:prstGeom prst="rect">
          <a:avLst/>
        </a:prstGeom>
        <a:solidFill>
          <a:srgbClr val="FF0000"/>
        </a:solidFill>
        <a:ln>
          <a:solidFill>
            <a:srgbClr val="FF0000"/>
          </a:solidFill>
        </a:ln>
      </xdr:spPr>
      <xdr:style>
        <a:lnRef idx="2">
          <a:schemeClr val="accent2"/>
        </a:lnRef>
        <a:fillRef idx="1">
          <a:schemeClr val="lt1"/>
        </a:fillRef>
        <a:effectRef idx="0">
          <a:schemeClr val="accent2"/>
        </a:effectRef>
        <a:fontRef idx="minor">
          <a:schemeClr val="dk1"/>
        </a:fontRef>
      </xdr:style>
      <xdr:txBody>
        <a:bodyPr wrap="square">
          <a:no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en-US" altLang="ja-JP" sz="1200" b="0" i="0">
              <a:solidFill>
                <a:schemeClr val="bg1"/>
              </a:solidFill>
              <a:effectLst/>
              <a:latin typeface="Meiryo UI" panose="020B0604030504040204" pitchFamily="50" charset="-128"/>
              <a:ea typeface="Meiryo UI" panose="020B0604030504040204" pitchFamily="50" charset="-128"/>
            </a:rPr>
            <a:t>Alps Alpine</a:t>
          </a:r>
          <a:r>
            <a:rPr lang="ja-JP" altLang="en-US" sz="1200" b="0" i="0">
              <a:solidFill>
                <a:schemeClr val="bg1"/>
              </a:solidFill>
              <a:effectLst/>
              <a:latin typeface="Meiryo UI" panose="020B0604030504040204" pitchFamily="50" charset="-128"/>
              <a:ea typeface="Meiryo UI" panose="020B0604030504040204" pitchFamily="50" charset="-128"/>
            </a:rPr>
            <a:t> </a:t>
          </a:r>
          <a:r>
            <a:rPr lang="en-US" altLang="ja-JP" sz="1200" b="0" i="0">
              <a:solidFill>
                <a:schemeClr val="bg1"/>
              </a:solidFill>
              <a:effectLst/>
              <a:latin typeface="Meiryo UI" panose="020B0604030504040204" pitchFamily="50" charset="-128"/>
              <a:ea typeface="Meiryo UI" panose="020B0604030504040204" pitchFamily="50" charset="-128"/>
            </a:rPr>
            <a:t>Internal</a:t>
          </a:r>
        </a:p>
        <a:p>
          <a:pPr algn="ctr"/>
          <a:r>
            <a:rPr lang="en-US" altLang="ja-JP" sz="800">
              <a:solidFill>
                <a:schemeClr val="bg1"/>
              </a:solidFill>
              <a:latin typeface="Meiryo UI" panose="020B0604030504040204" pitchFamily="50" charset="-128"/>
              <a:ea typeface="Meiryo UI" panose="020B0604030504040204" pitchFamily="50" charset="-128"/>
            </a:rPr>
            <a:t>F</a:t>
          </a:r>
          <a:r>
            <a:rPr lang="en-US" altLang="ja-JP" sz="800" b="0" i="0">
              <a:solidFill>
                <a:schemeClr val="bg1"/>
              </a:solidFill>
              <a:effectLst/>
              <a:latin typeface="Meiryo UI" panose="020B0604030504040204" pitchFamily="50" charset="-128"/>
              <a:ea typeface="Meiryo UI" panose="020B0604030504040204" pitchFamily="50" charset="-128"/>
            </a:rPr>
            <a:t>or Internal Use Only</a:t>
          </a:r>
          <a:endParaRPr lang="ja-JP" altLang="en-US" sz="800">
            <a:solidFill>
              <a:schemeClr val="bg1"/>
            </a:solidFill>
            <a:latin typeface="Meiryo UI" panose="020B0604030504040204" pitchFamily="50" charset="-128"/>
            <a:ea typeface="Meiryo UI" panose="020B0604030504040204" pitchFamily="50" charset="-128"/>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13</xdr:col>
      <xdr:colOff>427196</xdr:colOff>
      <xdr:row>2</xdr:row>
      <xdr:rowOff>100965</xdr:rowOff>
    </xdr:from>
    <xdr:to>
      <xdr:col>14</xdr:col>
      <xdr:colOff>1070865</xdr:colOff>
      <xdr:row>2</xdr:row>
      <xdr:rowOff>657225</xdr:rowOff>
    </xdr:to>
    <xdr:sp macro="" textlink="">
      <xdr:nvSpPr>
        <xdr:cNvPr id="2" name="正方形/長方形 1">
          <a:extLst>
            <a:ext uri="{FF2B5EF4-FFF2-40B4-BE49-F238E27FC236}">
              <a16:creationId xmlns:a16="http://schemas.microsoft.com/office/drawing/2014/main" id="{F582395B-F004-40A3-AEDA-440D44305354}"/>
            </a:ext>
          </a:extLst>
        </xdr:cNvPr>
        <xdr:cNvSpPr/>
      </xdr:nvSpPr>
      <xdr:spPr>
        <a:xfrm>
          <a:off x="27264836" y="299085"/>
          <a:ext cx="1862869" cy="556260"/>
        </a:xfrm>
        <a:prstGeom prst="rect">
          <a:avLst/>
        </a:prstGeom>
        <a:solidFill>
          <a:srgbClr val="FF0000"/>
        </a:solidFill>
        <a:ln>
          <a:solidFill>
            <a:srgbClr val="FF0000"/>
          </a:solidFill>
        </a:ln>
      </xdr:spPr>
      <xdr:style>
        <a:lnRef idx="2">
          <a:schemeClr val="accent2"/>
        </a:lnRef>
        <a:fillRef idx="1">
          <a:schemeClr val="lt1"/>
        </a:fillRef>
        <a:effectRef idx="0">
          <a:schemeClr val="accent2"/>
        </a:effectRef>
        <a:fontRef idx="minor">
          <a:schemeClr val="dk1"/>
        </a:fontRef>
      </xdr:style>
      <xdr:txBody>
        <a:bodyPr wrap="square">
          <a:no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en-US" altLang="ja-JP" sz="1200" b="0" i="0">
              <a:solidFill>
                <a:schemeClr val="bg1"/>
              </a:solidFill>
              <a:effectLst/>
              <a:latin typeface="Meiryo UI" panose="020B0604030504040204" pitchFamily="50" charset="-128"/>
              <a:ea typeface="Meiryo UI" panose="020B0604030504040204" pitchFamily="50" charset="-128"/>
            </a:rPr>
            <a:t>Alps Alpine</a:t>
          </a:r>
          <a:r>
            <a:rPr lang="ja-JP" altLang="en-US" sz="1200" b="0" i="0">
              <a:solidFill>
                <a:schemeClr val="bg1"/>
              </a:solidFill>
              <a:effectLst/>
              <a:latin typeface="Meiryo UI" panose="020B0604030504040204" pitchFamily="50" charset="-128"/>
              <a:ea typeface="Meiryo UI" panose="020B0604030504040204" pitchFamily="50" charset="-128"/>
            </a:rPr>
            <a:t> </a:t>
          </a:r>
          <a:r>
            <a:rPr lang="en-US" altLang="ja-JP" sz="1200" b="0" i="0">
              <a:solidFill>
                <a:schemeClr val="bg1"/>
              </a:solidFill>
              <a:effectLst/>
              <a:latin typeface="Meiryo UI" panose="020B0604030504040204" pitchFamily="50" charset="-128"/>
              <a:ea typeface="Meiryo UI" panose="020B0604030504040204" pitchFamily="50" charset="-128"/>
            </a:rPr>
            <a:t>Internal</a:t>
          </a:r>
        </a:p>
        <a:p>
          <a:pPr algn="ctr"/>
          <a:r>
            <a:rPr lang="en-US" altLang="ja-JP" sz="800">
              <a:solidFill>
                <a:schemeClr val="bg1"/>
              </a:solidFill>
              <a:latin typeface="Meiryo UI" panose="020B0604030504040204" pitchFamily="50" charset="-128"/>
              <a:ea typeface="Meiryo UI" panose="020B0604030504040204" pitchFamily="50" charset="-128"/>
            </a:rPr>
            <a:t>F</a:t>
          </a:r>
          <a:r>
            <a:rPr lang="en-US" altLang="ja-JP" sz="800" b="0" i="0">
              <a:solidFill>
                <a:schemeClr val="bg1"/>
              </a:solidFill>
              <a:effectLst/>
              <a:latin typeface="Meiryo UI" panose="020B0604030504040204" pitchFamily="50" charset="-128"/>
              <a:ea typeface="Meiryo UI" panose="020B0604030504040204" pitchFamily="50" charset="-128"/>
            </a:rPr>
            <a:t>or Internal Use Only</a:t>
          </a:r>
          <a:endParaRPr lang="ja-JP" altLang="en-US" sz="800">
            <a:solidFill>
              <a:schemeClr val="bg1"/>
            </a:solidFill>
            <a:latin typeface="Meiryo UI" panose="020B0604030504040204" pitchFamily="50" charset="-128"/>
            <a:ea typeface="Meiryo UI" panose="020B0604030504040204" pitchFamily="50" charset="-128"/>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539751</xdr:colOff>
      <xdr:row>0</xdr:row>
      <xdr:rowOff>52917</xdr:rowOff>
    </xdr:from>
    <xdr:to>
      <xdr:col>7</xdr:col>
      <xdr:colOff>2251648</xdr:colOff>
      <xdr:row>1</xdr:row>
      <xdr:rowOff>241300</xdr:rowOff>
    </xdr:to>
    <xdr:sp macro="" textlink="">
      <xdr:nvSpPr>
        <xdr:cNvPr id="2" name="正方形/長方形 1">
          <a:extLst>
            <a:ext uri="{FF2B5EF4-FFF2-40B4-BE49-F238E27FC236}">
              <a16:creationId xmlns:a16="http://schemas.microsoft.com/office/drawing/2014/main" id="{0EDE7440-ED04-41DA-90F9-00FE693BC474}"/>
            </a:ext>
          </a:extLst>
        </xdr:cNvPr>
        <xdr:cNvSpPr/>
      </xdr:nvSpPr>
      <xdr:spPr>
        <a:xfrm>
          <a:off x="19620231" y="52917"/>
          <a:ext cx="1536637" cy="493183"/>
        </a:xfrm>
        <a:prstGeom prst="rect">
          <a:avLst/>
        </a:prstGeom>
        <a:solidFill>
          <a:srgbClr val="FF0000"/>
        </a:solidFill>
        <a:ln>
          <a:solidFill>
            <a:srgbClr val="FF0000"/>
          </a:solidFill>
        </a:ln>
      </xdr:spPr>
      <xdr:style>
        <a:lnRef idx="2">
          <a:schemeClr val="accent2"/>
        </a:lnRef>
        <a:fillRef idx="1">
          <a:schemeClr val="lt1"/>
        </a:fillRef>
        <a:effectRef idx="0">
          <a:schemeClr val="accent2"/>
        </a:effectRef>
        <a:fontRef idx="minor">
          <a:schemeClr val="dk1"/>
        </a:fontRef>
      </xdr:style>
      <xdr:txBody>
        <a:bodyPr wrap="square">
          <a:no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en-US" altLang="ja-JP" sz="1200" b="0" i="0">
              <a:solidFill>
                <a:schemeClr val="bg1"/>
              </a:solidFill>
              <a:effectLst/>
              <a:latin typeface="Meiryo UI" panose="020B0604030504040204" pitchFamily="50" charset="-128"/>
              <a:ea typeface="Meiryo UI" panose="020B0604030504040204" pitchFamily="50" charset="-128"/>
            </a:rPr>
            <a:t>Alps Alpine</a:t>
          </a:r>
          <a:r>
            <a:rPr lang="ja-JP" altLang="en-US" sz="1200" b="0" i="0">
              <a:solidFill>
                <a:schemeClr val="bg1"/>
              </a:solidFill>
              <a:effectLst/>
              <a:latin typeface="Meiryo UI" panose="020B0604030504040204" pitchFamily="50" charset="-128"/>
              <a:ea typeface="Meiryo UI" panose="020B0604030504040204" pitchFamily="50" charset="-128"/>
            </a:rPr>
            <a:t> </a:t>
          </a:r>
          <a:r>
            <a:rPr lang="en-US" altLang="ja-JP" sz="1200" b="0" i="0">
              <a:solidFill>
                <a:schemeClr val="bg1"/>
              </a:solidFill>
              <a:effectLst/>
              <a:latin typeface="Meiryo UI" panose="020B0604030504040204" pitchFamily="50" charset="-128"/>
              <a:ea typeface="Meiryo UI" panose="020B0604030504040204" pitchFamily="50" charset="-128"/>
            </a:rPr>
            <a:t>Internal</a:t>
          </a:r>
        </a:p>
        <a:p>
          <a:pPr algn="ctr"/>
          <a:r>
            <a:rPr lang="en-US" altLang="ja-JP" sz="800">
              <a:solidFill>
                <a:schemeClr val="bg1"/>
              </a:solidFill>
              <a:latin typeface="Meiryo UI" panose="020B0604030504040204" pitchFamily="50" charset="-128"/>
              <a:ea typeface="Meiryo UI" panose="020B0604030504040204" pitchFamily="50" charset="-128"/>
            </a:rPr>
            <a:t>F</a:t>
          </a:r>
          <a:r>
            <a:rPr lang="en-US" altLang="ja-JP" sz="800" b="0" i="0">
              <a:solidFill>
                <a:schemeClr val="bg1"/>
              </a:solidFill>
              <a:effectLst/>
              <a:latin typeface="Meiryo UI" panose="020B0604030504040204" pitchFamily="50" charset="-128"/>
              <a:ea typeface="Meiryo UI" panose="020B0604030504040204" pitchFamily="50" charset="-128"/>
            </a:rPr>
            <a:t>or Internal Use Only</a:t>
          </a:r>
          <a:endParaRPr lang="ja-JP" altLang="en-US" sz="800">
            <a:solidFill>
              <a:schemeClr val="bg1"/>
            </a:solidFill>
            <a:latin typeface="Meiryo UI" panose="020B0604030504040204" pitchFamily="50" charset="-128"/>
            <a:ea typeface="Meiryo UI" panose="020B0604030504040204" pitchFamily="50" charset="-128"/>
          </a:endParaRPr>
        </a:p>
      </xdr:txBody>
    </xdr:sp>
    <xdr:clientData/>
  </xdr:twoCellAnchor>
  <xdr:twoCellAnchor editAs="oneCell">
    <xdr:from>
      <xdr:col>8</xdr:col>
      <xdr:colOff>158750</xdr:colOff>
      <xdr:row>48</xdr:row>
      <xdr:rowOff>137583</xdr:rowOff>
    </xdr:from>
    <xdr:to>
      <xdr:col>9</xdr:col>
      <xdr:colOff>2116</xdr:colOff>
      <xdr:row>48</xdr:row>
      <xdr:rowOff>1908033</xdr:rowOff>
    </xdr:to>
    <xdr:pic>
      <xdr:nvPicPr>
        <xdr:cNvPr id="3" name="図 2">
          <a:extLst>
            <a:ext uri="{FF2B5EF4-FFF2-40B4-BE49-F238E27FC236}">
              <a16:creationId xmlns:a16="http://schemas.microsoft.com/office/drawing/2014/main" id="{BEE0C248-1863-4411-BE03-826590F47DBE}"/>
            </a:ext>
          </a:extLst>
        </xdr:cNvPr>
        <xdr:cNvPicPr>
          <a:picLocks noChangeAspect="1"/>
        </xdr:cNvPicPr>
      </xdr:nvPicPr>
      <xdr:blipFill>
        <a:blip xmlns:r="http://schemas.openxmlformats.org/officeDocument/2006/relationships" r:embed="rId1"/>
        <a:stretch>
          <a:fillRect/>
        </a:stretch>
      </xdr:blipFill>
      <xdr:spPr>
        <a:xfrm>
          <a:off x="21311870" y="25207383"/>
          <a:ext cx="1954106" cy="17704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1FA079-472A-4E73-9BF6-16AF52A72E15}" name="Info" displayName="Info" ref="A5:AC95" totalsRowShown="0" headerRowDxfId="303" dataDxfId="301" headerRowBorderDxfId="302" tableBorderDxfId="300" totalsRowBorderDxfId="299">
  <autoFilter ref="A5:AC95" xr:uid="{E11FA079-472A-4E73-9BF6-16AF52A72E15}"/>
  <tableColumns count="29">
    <tableColumn id="1" xr3:uid="{755E395D-06F5-43B7-9385-959682AA359C}" name="Auto_No" dataDxfId="298">
      <calculatedColumnFormula>Info[[#This Row],[Company]] &amp; "-" &amp; Info[[#This Row],[Department]] &amp; "-" &amp; $I$2 &amp; "-" &amp; TEXT(COUNTIF(INDEX(Info[Department],1):Info[[#This Row],[Department]],Info[[#This Row],[Department]]),"0000")</calculatedColumnFormula>
    </tableColumn>
    <tableColumn id="26" xr3:uid="{5B2759EF-080B-483A-8391-4D4F3E5AFFF4}" name="No" dataDxfId="297"/>
    <tableColumn id="2" xr3:uid="{FBAD9A7A-A1D7-4476-AC02-597D92A024D9}" name="Asset Name" dataDxfId="296"/>
    <tableColumn id="3" xr3:uid="{8D0A1736-7010-46CC-9CD3-CFB888FA5200}" name="Required Protect Class" dataDxfId="295"/>
    <tableColumn id="4" xr3:uid="{E7692E72-F912-474C-8640-04026EC59741}" name="Critical Information Classification" dataDxfId="294"/>
    <tableColumn id="5" xr3:uid="{05F1847B-57AF-42A7-8197-B45CC35F2C89}" name="Customer Name" dataDxfId="293"/>
    <tableColumn id="30" xr3:uid="{629B4206-C516-4828-889D-306317DC8826}" name="Information Category" dataDxfId="292"/>
    <tableColumn id="6" xr3:uid="{1590EE02-39C3-423F-98E4-013813D277C6}" name="Information Category(Original)" dataDxfId="291"/>
    <tableColumn id="7" xr3:uid="{3225543E-8B16-4DB0-8B9C-8A1626FF7517}" name="Manager of the asset" dataDxfId="290"/>
    <tableColumn id="8" xr3:uid="{DEEE5D8E-AEAF-4436-9118-B276E075D294}" name="Responsible Department(Owning Department)" dataDxfId="289"/>
    <tableColumn id="9" xr3:uid="{F7DC1730-F6FE-4DA7-A269-88A214E05942}" name="Primary Business Area of Asset Usage" dataDxfId="288"/>
    <tableColumn id="28" xr3:uid="{5A3F6B70-E893-48F2-A681-E2EA67C19AB3}" name="Purpose to use the asset" dataDxfId="287"/>
    <tableColumn id="11" xr3:uid="{8B499409-803C-44CE-81C0-5625192569EB}" name="Media form" dataDxfId="286"/>
    <tableColumn id="29" xr3:uid="{0C3CB222-EB1B-41ED-A93A-394B7AF6D5EE}" name="Media form(Original)" dataDxfId="285"/>
    <tableColumn id="12" xr3:uid="{4AB82B45-C187-4E62-80EF-F399DB765E90}" name="Support asset stored to" dataDxfId="284"/>
    <tableColumn id="10" xr3:uid="{BB12BEA6-AB60-4DDE-BBF3-E6F836DD83CB}" name="Viewing Authority" dataDxfId="283"/>
    <tableColumn id="13" xr3:uid="{E8A2DF31-AC63-41D6-8096-D45E3AF1EF62}" name="Permitted Scope of Use" dataDxfId="282"/>
    <tableColumn id="14" xr3:uid="{B3D4F7E8-71D3-4DB5-B3CA-D0D986E7D28A}" name="Other Customer req, Requlation_x000a_" dataDxfId="281"/>
    <tableColumn id="15" xr3:uid="{39EDAEA2-A103-49CE-ABA2-C924E2367720}" name="Confidentiality" dataDxfId="280"/>
    <tableColumn id="16" xr3:uid="{2F5B0599-8CCE-42FA-A892-BA9F8048D140}" name="Integrity" dataDxfId="279"/>
    <tableColumn id="17" xr3:uid="{A9F0AADF-8702-416E-852E-B6BE944CCFD8}" name="Availability" dataDxfId="278"/>
    <tableColumn id="18" xr3:uid="{9337A2DF-89E2-450D-9D27-24EE4AD7BA99}" name="Importance" dataDxfId="277">
      <calculatedColumnFormula>MAX(S6:U95)</calculatedColumnFormula>
    </tableColumn>
    <tableColumn id="19" xr3:uid="{D147EE3A-18FF-4A0B-8CDF-4347F90D12E7}" name="Threat probality Class" dataDxfId="276"/>
    <tableColumn id="20" xr3:uid="{4942F87C-A0A9-4C10-AC8F-41962E66A475}" name="Vulnerability Class" dataDxfId="275"/>
    <tableColumn id="21" xr3:uid="{13C4F014-38BA-486E-871A-16F7C9A1FE94}" name="Damage occurance Probability" dataDxfId="274">
      <calculatedColumnFormula>MAXA(W6-X6,1)</calculatedColumnFormula>
    </tableColumn>
    <tableColumn id="22" xr3:uid="{F177DC08-A1B9-4695-B6ED-61E0F47AB729}" name="Risk" dataDxfId="273">
      <calculatedColumnFormula>V6*Y6</calculatedColumnFormula>
    </tableColumn>
    <tableColumn id="23" xr3:uid="{A1C6A31C-51C5-45A6-8CEA-559ECC1063D9}" name="Remarks" dataDxfId="272"/>
    <tableColumn id="24" xr3:uid="{D2FB348C-9FD1-4C0A-A53E-F5EC1DB27CF7}" name="Company" dataDxfId="271">
      <calculatedColumnFormula>$F$2</calculatedColumnFormula>
    </tableColumn>
    <tableColumn id="25" xr3:uid="{FAA529F5-7F4A-4EDC-AFB5-0EAB6BE9B644}" name="Department" dataDxfId="270">
      <calculatedColumnFormula>$H$2</calculatedColumnFormula>
    </tableColumn>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791152C-3D03-48C1-A153-2206E2035329}" name="Prototype" displayName="Prototype" ref="A5:AC6" totalsRowShown="0" headerRowDxfId="269" dataDxfId="267" headerRowBorderDxfId="268" tableBorderDxfId="266" totalsRowBorderDxfId="265">
  <autoFilter ref="A5:AC6" xr:uid="{9791152C-3D03-48C1-A153-2206E2035329}"/>
  <tableColumns count="29">
    <tableColumn id="1" xr3:uid="{ADC7E666-F5C8-4FAD-8481-EA791B032471}" name="Auto_No" dataDxfId="264">
      <calculatedColumnFormula>Prototype[[#This Row],[Company]] &amp; "-" &amp; Prototype[[#This Row],[Department]] &amp; "-" &amp; $AM$2 &amp; "-" &amp; TEXT(COUNTIF(INDEX(Prototype[Department],1):Prototype[[#This Row],[Department]],Prototype[[#This Row],[Department]]),"0000")</calculatedColumnFormula>
    </tableColumn>
    <tableColumn id="26" xr3:uid="{3EF3F1D6-64FF-46BF-9609-AC086A97FFD9}" name="No" dataDxfId="263"/>
    <tableColumn id="2" xr3:uid="{0FCA7655-37F0-4D23-B255-051623592AC0}" name="Asset Name" dataDxfId="262"/>
    <tableColumn id="3" xr3:uid="{01662A5F-03AE-455E-85B5-B14935ED054F}" name="Required _x000a_Protect Class" dataDxfId="261"/>
    <tableColumn id="4" xr3:uid="{E747F268-0D0F-4EAE-BC04-2ECF425D9B9A}" name="Critical Information Classification" dataDxfId="260"/>
    <tableColumn id="5" xr3:uid="{F60A4FD6-A2CA-4F55-90AB-462FBC3C5E93}" name="Customer Name_x000a_" dataDxfId="259"/>
    <tableColumn id="31" xr3:uid="{325A84AD-8F5B-4576-BE7C-9A911BEBD2B0}" name="Information Category" dataDxfId="258"/>
    <tableColumn id="6" xr3:uid="{94CE7764-3104-48E1-AEE8-2CB81889EC20}" name="Information Category(Original)" dataDxfId="257"/>
    <tableColumn id="7" xr3:uid="{AB658C84-9128-4EF3-A5BF-010514F38999}" name="Manager _x000a_of the asset" dataDxfId="256"/>
    <tableColumn id="8" xr3:uid="{D8DF1D92-2D9D-456E-A487-A50EC44EBD8D}" name="Responsible Department(Owning Department)" dataDxfId="255"/>
    <tableColumn id="10" xr3:uid="{B0077AD2-D755-4A1C-8E66-E1684ECE5223}" name="Purpose _x000a_to use the asset(Original)" dataDxfId="254"/>
    <tableColumn id="9" xr3:uid="{C758036D-D4FA-4AFA-B25D-FE4B2F457F2F}" name="Primary Business Area of Asset Usage_x000a_" dataDxfId="253"/>
    <tableColumn id="30" xr3:uid="{D2BA5433-28A4-4D96-8EBB-87BB4DF045B7}" name="Viewing Authority" dataDxfId="252"/>
    <tableColumn id="27" xr3:uid="{B8546701-5EE1-4661-9380-71F25D1A632F}" name="Permitted Scope of Use" dataDxfId="251"/>
    <tableColumn id="29" xr3:uid="{52C65118-2E54-41F4-B55A-589200209A72}" name="Media form" dataDxfId="250"/>
    <tableColumn id="11" xr3:uid="{FDE0BCE7-B334-4CBB-8D51-00F5B94016C6}" name="Media form(Original)" dataDxfId="249"/>
    <tableColumn id="12" xr3:uid="{912BC948-3373-4AAA-BBD2-A7DF7965FDD2}" name="Support asset stored to" dataDxfId="248"/>
    <tableColumn id="14" xr3:uid="{42F1AF01-B62A-4C5B-BB33-F58CE6E34CD8}" name="Other Customer req, _x000a_Requlation" dataDxfId="247"/>
    <tableColumn id="15" xr3:uid="{D8174D7C-79D2-4AA2-B486-E5EBC6B295C8}" name="Confidentiality" dataDxfId="246"/>
    <tableColumn id="16" xr3:uid="{F2931B6C-E331-48A7-97B2-F344663769B0}" name="Integrity" dataDxfId="245"/>
    <tableColumn id="17" xr3:uid="{81A439E4-32E4-41A5-BAEB-89AB1B33BC2F}" name="Availability" dataDxfId="244"/>
    <tableColumn id="18" xr3:uid="{273D953B-6F9D-4112-A59B-455B5C78FB6A}" name="Importance" dataDxfId="243">
      <calculatedColumnFormula>MAX(S6:U6)</calculatedColumnFormula>
    </tableColumn>
    <tableColumn id="19" xr3:uid="{46F1BF84-5EB1-433E-9678-5A62F3B0D9FF}" name="Threat probality Class" dataDxfId="242"/>
    <tableColumn id="20" xr3:uid="{E6C1661C-12DD-43BE-A3CC-B7BF1614F481}" name="Vulnerability Class" dataDxfId="241"/>
    <tableColumn id="21" xr3:uid="{735BED51-016C-4A79-8C0F-9A13332EFDDD}" name="Damage occurance Probability" dataDxfId="240">
      <calculatedColumnFormula>MAXA(W6-X6,1)</calculatedColumnFormula>
    </tableColumn>
    <tableColumn id="22" xr3:uid="{1CAF7E87-D787-4529-9A10-DDA873AFFAC7}" name="Risk" dataDxfId="239">
      <calculatedColumnFormula>V6*Y6</calculatedColumnFormula>
    </tableColumn>
    <tableColumn id="23" xr3:uid="{FDE1FE22-76E2-4D24-BE07-2EC958CC259C}" name="Remarks" dataDxfId="238"/>
    <tableColumn id="24" xr3:uid="{A6E9035F-B64D-4A33-88C2-BDCF438E9853}" name="Company" dataDxfId="237">
      <calculatedColumnFormula>$F$2</calculatedColumnFormula>
    </tableColumn>
    <tableColumn id="25" xr3:uid="{9CE4174D-136C-4139-9634-E4438CE208B5}" name="Department" dataDxfId="236">
      <calculatedColumnFormula>$H$2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AECCCAF-FCDB-4DF5-A564-79415180503C}" name="Supplement" displayName="Supplement" ref="A5:AK100" totalsRowShown="0" headerRowDxfId="235" dataDxfId="233" headerRowBorderDxfId="234" tableBorderDxfId="232" totalsRowBorderDxfId="231">
  <autoFilter ref="A5:AK100" xr:uid="{8AECCCAF-FCDB-4DF5-A564-79415180503C}"/>
  <tableColumns count="37">
    <tableColumn id="1" xr3:uid="{93476A7A-8A85-4F2F-9D85-E37C78DD8941}" name="Auto_No" dataDxfId="230">
      <calculatedColumnFormula>Supplement[[#This Row],[Company]] &amp; "-" &amp; Supplement[[#This Row],[Department]] &amp; "-" &amp; $AT$2 &amp; "-" &amp; TEXT(COUNTIF(INDEX(Supplement[Department],1):Supplement[[#This Row],[Department]],Supplement[[#This Row],[Department]]),"0000")</calculatedColumnFormula>
    </tableColumn>
    <tableColumn id="34" xr3:uid="{A4C310BD-3F1E-401F-A79B-AC434CE4C246}" name="No" dataDxfId="229"/>
    <tableColumn id="2" xr3:uid="{7A55EA93-B880-4133-9161-183D604E3E43}" name="Asset Name" dataDxfId="228"/>
    <tableColumn id="3" xr3:uid="{F8110E02-E1B5-414F-98B1-8E1554D887EA}" name="Required _x000a_Protect Class" dataDxfId="227"/>
    <tableColumn id="4" xr3:uid="{E17A984C-0B02-44F3-9956-4F0A52A6A0BC}" name="Information_x000a_ Category" dataDxfId="226"/>
    <tableColumn id="5" xr3:uid="{4288850A-BFDE-421D-A90C-5C60672AD742}" name="Manager _x000a_of the asset" dataDxfId="225"/>
    <tableColumn id="6" xr3:uid="{4E7DE47F-E4A8-43E1-9385-AB0A7F61AAFD}" name="Responsible Department(Owning Department)" dataDxfId="224"/>
    <tableColumn id="7" xr3:uid="{EF21039E-053C-41AA-9D1B-BB607D7E7B1C}" name=" IT Operations Organization" dataDxfId="223"/>
    <tableColumn id="8" xr3:uid="{00FA25DE-167F-4D74-B214-5CF8713C6DAC}" name="Purpose _x000a_to use the asset" dataDxfId="222"/>
    <tableColumn id="9" xr3:uid="{09A91815-4081-4710-899E-938A5033038F}" name="xternal public" dataDxfId="221"/>
    <tableColumn id="10" xr3:uid="{F68D7F10-E052-4797-8992-3B090B46E74E}" name="Types of assets" dataDxfId="220"/>
    <tableColumn id="11" xr3:uid="{8A1D1EF2-2733-4F4E-BF99-20146D6D3D00}" name="Viewing Authority" dataDxfId="219"/>
    <tableColumn id="14" xr3:uid="{62A59DC4-1BD3-48D5-A4D3-48FD2518614C}" name="Permitted Scope of Use" dataDxfId="218"/>
    <tableColumn id="36" xr3:uid="{714B1690-5B81-4D9A-B893-1017AD5EC7DC}" name="Media form" dataDxfId="217"/>
    <tableColumn id="12" xr3:uid="{A1BD002F-815C-48E0-8305-4F3FA2F2CEF4}" name="Installation Location / Storage Location" dataDxfId="216"/>
    <tableColumn id="13" xr3:uid="{CC4D6231-FD25-4985-B58D-A64AF3E738B8}" name="Other Customer req, _x000a_Requlation/_x000a_Laws req." dataDxfId="215"/>
    <tableColumn id="42" xr3:uid="{3A1B269A-2D56-45A0-8F25-65037854705C}" name="Contract status" dataDxfId="214"/>
    <tableColumn id="38" xr3:uid="{6B5DA69E-2899-415D-B688-2AFD925A6932}" name="ExtIT_Work_Division" dataDxfId="213"/>
    <tableColumn id="37" xr3:uid="{EE879938-C796-4AD8-A6DE-17F29AACF017}" name="ExtIT_Using_Status" dataDxfId="212"/>
    <tableColumn id="35" xr3:uid="{AD776011-AC6F-4C50-B384-8E2D14A295D6}" name="Training Requirement" dataDxfId="211"/>
    <tableColumn id="17" xr3:uid="{1A34BDB9-5604-454B-9F00-8DFB8D76F5AA}" name="Confidentiality" dataDxfId="210"/>
    <tableColumn id="18" xr3:uid="{5532D5D1-C0DC-44CA-BE91-5076328915C5}" name="Integrity" dataDxfId="209"/>
    <tableColumn id="19" xr3:uid="{293BF027-D9B1-456F-8A9A-E79661D8EE90}" name="Availability" dataDxfId="208"/>
    <tableColumn id="20" xr3:uid="{A0E7D1A6-9165-49EC-8CBE-D13D25B1FDD3}" name="Importance" dataDxfId="207">
      <calculatedColumnFormula>MAX(U6:W100)</calculatedColumnFormula>
    </tableColumn>
    <tableColumn id="21" xr3:uid="{A6A6C1DD-0D92-4505-99FA-356815CDAB87}" name="Threat probality Class" dataDxfId="206"/>
    <tableColumn id="22" xr3:uid="{30CA69FF-506F-45F2-81F4-454EE78DEF97}" name="Vulnerability Class" dataDxfId="205"/>
    <tableColumn id="23" xr3:uid="{6A53EE6F-2559-491F-9F8B-4C41A7632C05}" name="Damage occurance Probability" dataDxfId="204">
      <calculatedColumnFormula>MAXA(Y6-Z6,1)</calculatedColumnFormula>
    </tableColumn>
    <tableColumn id="24" xr3:uid="{6A436EDB-1D3C-4574-969E-DB62D4D1CA67}" name="Risk" dataDxfId="203">
      <calculatedColumnFormula>X6*AA6</calculatedColumnFormula>
    </tableColumn>
    <tableColumn id="25" xr3:uid="{AE9D81F7-182F-45A5-AD51-33874C4D3296}" name="Acceptance/Operational Approval" dataDxfId="202"/>
    <tableColumn id="26" xr3:uid="{7429954C-8462-4DF3-B74F-065BDE89C53C}" name="System Operation Record" dataDxfId="201"/>
    <tableColumn id="27" xr3:uid="{73DA88D1-6550-4D58-8EE7-87FCCEC9BF82}" name="Latest Inspection Date" dataDxfId="200"/>
    <tableColumn id="28" xr3:uid="{4CD5C0E2-D236-4846-A8A0-636B9A168F61}" name="Inspection Result" dataDxfId="199"/>
    <tableColumn id="29" xr3:uid="{7362C078-0F98-47F1-8657-E2C37DA584BC}" name="Planned Inspection Date" dataDxfId="198"/>
    <tableColumn id="30" xr3:uid="{1E00324B-A537-4628-A62C-9446867B8EEF}" name="Incident Record" dataDxfId="197"/>
    <tableColumn id="31" xr3:uid="{18CAE740-222A-4006-AFAD-BC12EFF64644}" name="Remarks" dataDxfId="196"/>
    <tableColumn id="32" xr3:uid="{32ACC08C-3F62-40E2-AE1C-842F4C3D6EBC}" name="Company" dataDxfId="195">
      <calculatedColumnFormula>$F$2</calculatedColumnFormula>
    </tableColumn>
    <tableColumn id="33" xr3:uid="{FB5A1E41-2A9A-4AA7-8E00-0E79C729B107}" name="Department" dataDxfId="194">
      <calculatedColumnFormula>$H$2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92EB9F4-4E27-4BA8-BAEB-7C530F934E3E}" name="Business_Partner_List" displayName="Business_Partner_List" ref="A5:AB11" totalsRowShown="0" headerRowDxfId="193" dataDxfId="191" headerRowBorderDxfId="192" tableBorderDxfId="190" totalsRowBorderDxfId="189">
  <autoFilter ref="A5:AB11" xr:uid="{592EB9F4-4E27-4BA8-BAEB-7C530F934E3E}"/>
  <tableColumns count="28">
    <tableColumn id="1" xr3:uid="{F3301CF5-73AA-455C-AAC2-4DA637EEA658}" name="Auto_No" dataDxfId="188">
      <calculatedColumnFormula>Business_Partner_List[[#This Row],[Company]] &amp; "-" &amp; Business_Partner_List[[#This Row],[Department]] &amp; "-" &amp; $I$2 &amp; "-" &amp; TEXT(COUNTIF(INDEX(Business_Partner_List[Department],1):Business_Partner_List[[#This Row],[Department]],Business_Partner_List[[#This Row],[Department]]),"0000")</calculatedColumnFormula>
    </tableColumn>
    <tableColumn id="24" xr3:uid="{27FDBF33-79A7-430A-9CE0-0C1ABEC9B6A8}" name="ID" dataDxfId="187"/>
    <tableColumn id="2" xr3:uid="{E8F9F2E8-DB26-4A45-BEB1-A97DE1BC1215}" name="Business Partner Name" dataDxfId="186"/>
    <tableColumn id="3" xr3:uid="{30617E55-7D43-44B3-B4ED-EC2135562A71}" name="Contact Department in Business Partner" dataDxfId="185"/>
    <tableColumn id="4" xr3:uid="{E37AB01B-0991-4AF4-9577-3D08118B84F3}" name="the department in charge within our company_x000a_" dataDxfId="184"/>
    <tableColumn id="5" xr3:uid="{65849343-18B0-409E-A0B6-279FF01DF58E}" name="Overview of the Transaction / Outsourcing" dataDxfId="183"/>
    <tableColumn id="7" xr3:uid="{06E1F760-622E-4052-AE14-EAFEF72EBE8C}" name="Presence on Premise and Entry Permitted Area_x000a_" dataDxfId="182"/>
    <tableColumn id="8" xr3:uid="{DF5AE7C9-A977-4769-9096-306C62B32D13}" name="Security Officer in Business Partner" dataDxfId="181"/>
    <tableColumn id="9" xr3:uid="{D8D915A2-28E7-4649-AFB1-22A8DD774FAC}" name="Execution Date of xNDA-007 (Information Security Agreement)_x000a__x000a_" dataDxfId="180"/>
    <tableColumn id="10" xr3:uid="{601BEDCE-4A5E-4921-96A0-744EE9C8E11B}" name="ISMS最新周知日" dataDxfId="179"/>
    <tableColumn id="11" xr3:uid="{AB342DA2-6D4D-4223-AFE5-9C2BDDDA83B7}" name="Latest Audit Date (Assessment Date)_x000a_" dataDxfId="178"/>
    <tableColumn id="12" xr3:uid="{4D500EC3-D369-4209-A1A4-C2F2C2789060}" name="Latest Audit or Assessment Results_x000a_" dataDxfId="177"/>
    <tableColumn id="13" xr3:uid="{1216B9C1-7201-4A4F-8431-12883CC696E9}" name="Next Audit and Assessment Date" dataDxfId="176"/>
    <tableColumn id="15" xr3:uid="{DCF8A1D3-04A0-46A8-8045-0610828C8F32}" name="Incidnet Record" dataDxfId="175"/>
    <tableColumn id="28" xr3:uid="{B8674D8E-7EA1-4DA3-A3B1-EBDC2F8F8EDD}" name="Threat probality Class" dataDxfId="174"/>
    <tableColumn id="27" xr3:uid="{733EA72F-B7EE-409C-B6CD-3B25BEA91986}" name="Vulnerability Class" dataDxfId="173"/>
    <tableColumn id="26" xr3:uid="{EC93C7FB-113A-4190-994C-B192B2CF8B9C}" name="Damage occurance Probability" dataDxfId="172">
      <calculatedColumnFormula>MAXA(O6-P6,1)</calculatedColumnFormula>
    </tableColumn>
    <tableColumn id="16" xr3:uid="{DF747B2E-B005-49A2-8177-4F5BCFAB75D2}" name="Related customer name" dataDxfId="171"/>
    <tableColumn id="17" xr3:uid="{5A040BB6-3BB4-4813-B6B7-EDB3947664B3}" name="Latest educated date " dataDxfId="170"/>
    <tableColumn id="18" xr3:uid="{D6B2D7D9-860E-4AFC-9A21-B25F7416BAF0}" name="Customer Approval Date" dataDxfId="169"/>
    <tableColumn id="19" xr3:uid="{C72F2046-5848-4019-8E01-5E22CDC79C8F}" name="Fascility Requirement" dataDxfId="168"/>
    <tableColumn id="20" xr3:uid="{4DCD2F12-7BFA-415E-A027-7619A1BC5525}" name="Fascility Requirement specification" dataDxfId="167"/>
    <tableColumn id="6" xr3:uid="{C9280361-1ACC-4C90-8409-79413FCC0193}" name="Required availability" dataDxfId="166"/>
    <tableColumn id="25" xr3:uid="{924B7112-2BCA-4E38-97B7-17F9E4BB742D}" name="Training Requirement" dataDxfId="165"/>
    <tableColumn id="14" xr3:uid="{B03142A4-99AF-4154-A49F-D5FB04BB2817}" name="Data Return_x000a_/Deletion on Termination " dataDxfId="164"/>
    <tableColumn id="21" xr3:uid="{33C736FD-ABB2-4A73-BFE5-2A9E1CA131D4}" name="Remarks" dataDxfId="163"/>
    <tableColumn id="22" xr3:uid="{6D5D708B-52B6-4A7E-8963-CC019CABC8E1}" name="Company" dataDxfId="162">
      <calculatedColumnFormula>$F$2</calculatedColumnFormula>
    </tableColumn>
    <tableColumn id="23" xr3:uid="{99B2856A-EA4E-4771-AE5F-0A6E9C705379}" name="Department" dataDxfId="161">
      <calculatedColumnFormula>$H$2</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7F7CDEC-2331-4707-A7F5-D7D296C0577D}" name="Project_List" displayName="Project_List" ref="A5:Y6" totalsRowShown="0" headerRowDxfId="160" dataDxfId="158" headerRowBorderDxfId="159" tableBorderDxfId="157" totalsRowBorderDxfId="156">
  <autoFilter ref="A5:Y6" xr:uid="{67F7CDEC-2331-4707-A7F5-D7D296C0577D}"/>
  <tableColumns count="25">
    <tableColumn id="1" xr3:uid="{CAFA2DA1-CD94-4652-8A27-6A13CD3A406B}" name="Auto_No" dataDxfId="155">
      <calculatedColumnFormula>Project_List[[#This Row],[Company]] &amp; "-" &amp; Project_List[[#This Row],[Department]] &amp; "-" &amp; $I$2 &amp; "-" &amp; TEXT(COUNTIF(INDEX(Project_List[Department],1):Project_List[[#This Row],[Department]],Project_List[[#This Row],[Department]]),"0000")</calculatedColumnFormula>
    </tableColumn>
    <tableColumn id="2" xr3:uid="{42A3EDB0-DD83-4FE3-93B2-56BBCBF1510B}" name="ID" dataDxfId="154"/>
    <tableColumn id="3" xr3:uid="{21B5BD51-5A74-4E17-871A-C285D09C4B7D}" name="Project Control Number" dataDxfId="153"/>
    <tableColumn id="23" xr3:uid="{591FC2AF-ED4F-47E5-A202-942BFDE00F8A}" name="Customer Name" dataDxfId="152"/>
    <tableColumn id="4" xr3:uid="{30038109-6D8C-4141-B4D0-D3A5A123A719}" name="Project Name" dataDxfId="151"/>
    <tableColumn id="6" xr3:uid="{E47D7045-3903-441D-86A6-2D86FBF4422B}" name="Project Lead Department" dataDxfId="150"/>
    <tableColumn id="5" xr3:uid="{A9AB122F-BAD3-4750-97AE-DAF8F0B8C467}" name="Project Manager _x000a_of the asset" dataDxfId="149"/>
    <tableColumn id="7" xr3:uid="{76D66900-709D-4B01-8915-D12ECED05042}" name="Project Member" dataDxfId="148"/>
    <tableColumn id="12" xr3:uid="{84682AB3-12EC-4592-9351-94DBB15EB7F5}" name="Working Space" dataDxfId="147"/>
    <tableColumn id="11" xr3:uid="{C307D79A-BB01-422A-B567-56EE1574BE67}" name="Required _x000a_Protect Class_x000a_(Regulation/_x000a_Customer Req.)" dataDxfId="146"/>
    <tableColumn id="13" xr3:uid="{8B0D84B2-3521-4FD0-87DA-7D9267AAA4E0}" name="Viewing _x000a_Authority" dataDxfId="145"/>
    <tableColumn id="14" xr3:uid="{705BBA41-6886-4CE2-A9D9-930A570DECA6}" name="Other Customer req, _x000a_Requlation/_x000a_Laws req." dataDxfId="144"/>
    <tableColumn id="16" xr3:uid="{01BA8A79-7503-43EB-8858-85651716356A}" name="Latest Inspection Date" dataDxfId="143"/>
    <tableColumn id="17" xr3:uid="{B7139180-A242-4764-BCE2-F0615B396872}" name="Inspection Result" dataDxfId="142"/>
    <tableColumn id="18" xr3:uid="{95DBF775-BC08-49D2-8663-D55610B66A2C}" name="Planned Inspection Date" dataDxfId="141"/>
    <tableColumn id="19" xr3:uid="{1FF6811E-5DD6-4CA1-8DD3-A49429D6A8EE}" name="Incident Record" dataDxfId="140"/>
    <tableColumn id="8" xr3:uid="{73DE3D43-2A32-45A7-B32D-B8A9445F7C26}" name="xNDA-008 (Information Security Agreement) Signed (Yes/No)_x000a_" dataDxfId="139"/>
    <tableColumn id="15" xr3:uid="{A0FFAC82-7167-4F65-905A-D0C94FF2028A}" name="Subprocessor_x000a_" dataDxfId="138"/>
    <tableColumn id="10" xr3:uid="{1D7B2281-AF33-48BF-9A5C-B9F374D9B595}" name="Training Requirement" dataDxfId="137"/>
    <tableColumn id="25" xr3:uid="{B60CE232-9C08-4EDA-96F4-4358104A94C5}" name="Threat probality Class" dataDxfId="136"/>
    <tableColumn id="24" xr3:uid="{8613910A-97E0-4C58-ABD5-955DABC9AEB4}" name="Vulnerability Class" dataDxfId="135"/>
    <tableColumn id="9" xr3:uid="{49E6AD83-5CCC-4822-9B27-02693941639A}" name="Damage occurance Probability" dataDxfId="134">
      <calculatedColumnFormula>MAXA(T6-U6,1)</calculatedColumnFormula>
    </tableColumn>
    <tableColumn id="20" xr3:uid="{F103FC61-412E-46E7-B75E-B6D42546E07A}" name="Remarks" dataDxfId="133"/>
    <tableColumn id="21" xr3:uid="{6D195A8D-10CE-4803-A7CE-ABC257356987}" name="Company" dataDxfId="132">
      <calculatedColumnFormula>$F$2</calculatedColumnFormula>
    </tableColumn>
    <tableColumn id="22" xr3:uid="{1C1332DE-54D1-4428-B0D5-F55640DF529C}" name="Department" dataDxfId="131">
      <calculatedColumnFormula>$H$2</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62E1FF5-C154-4013-BC0E-E32E0CE8F3FE}" name="SoftWare" displayName="SoftWare" ref="A5:V6" totalsRowShown="0" headerRowDxfId="130" dataDxfId="128" headerRowBorderDxfId="129" tableBorderDxfId="127" totalsRowBorderDxfId="126">
  <autoFilter ref="A5:V6" xr:uid="{8AECCCAF-FCDB-4DF5-A564-79415180503C}"/>
  <tableColumns count="22">
    <tableColumn id="1" xr3:uid="{9179ACAB-E77D-426C-8079-A4A0D3A92F73}" name="Auto_No" dataDxfId="125">
      <calculatedColumnFormula>SoftWare[[#This Row],[Company]] &amp; "-" &amp; SoftWare[[#This Row],[Department]] &amp; "-" &amp; $I$2 &amp; "-" &amp; TEXT(COUNTIF(INDEX(SoftWare[Department],1):SoftWare[[#This Row],[Department]],SoftWare[[#This Row],[Department]]),"0000")</calculatedColumnFormula>
    </tableColumn>
    <tableColumn id="34" xr3:uid="{169EC515-77BA-48E0-B276-098133953A5E}" name="No" dataDxfId="124"/>
    <tableColumn id="2" xr3:uid="{0ECFC05C-19DC-447B-A523-3A998D3F1742}" name="Asset Name" dataDxfId="123"/>
    <tableColumn id="14" xr3:uid="{687812B6-9398-47FA-93E9-9D0406AE849F}" name="Software Version_x000a_" dataDxfId="122"/>
    <tableColumn id="8" xr3:uid="{9ECEAB17-ABFD-48BD-B440-72E6F7500408}" name="Purpose _x000a_to use the asset" dataDxfId="121"/>
    <tableColumn id="5" xr3:uid="{DA62F1AD-A757-416B-8DAF-58B96265F5AD}" name="Manager _x000a_of the asset" dataDxfId="120"/>
    <tableColumn id="39" xr3:uid="{94229A80-3955-4075-BD0C-DACC4FADFE10}" name="Name of mobile asset" dataDxfId="119"/>
    <tableColumn id="40" xr3:uid="{6C94972D-39E6-4B78-B4AE-C7CE611DD045}" name="Asset Number" dataDxfId="118"/>
    <tableColumn id="15" xr3:uid="{F5E47AC9-A9AE-4309-B703-021729227EB5}" name="License Type" dataDxfId="117"/>
    <tableColumn id="16" xr3:uid="{554AF846-F759-4F62-BCD5-1C320441AC8D}" name="Number of Licenses" dataDxfId="116"/>
    <tableColumn id="35" xr3:uid="{7E3ADFD5-670E-45A6-B9FF-FBBFD8DD2F6C}" name="Training Requirement" dataDxfId="115"/>
    <tableColumn id="17" xr3:uid="{34FACA05-1ACE-499E-976A-2DE55784348F}" name="Confidentiality" dataDxfId="114"/>
    <tableColumn id="18" xr3:uid="{CCCA32EE-25F1-470A-9A66-ED5A975016CA}" name="Integrity" dataDxfId="113"/>
    <tableColumn id="19" xr3:uid="{CC63BFEB-1596-4BEF-A274-FAE0DFE1B1EB}" name="Availability" dataDxfId="112"/>
    <tableColumn id="20" xr3:uid="{50DDB244-F98A-4EBC-A5F4-BC2BFF1F1437}" name="Importance" dataDxfId="111">
      <calculatedColumnFormula>MAX(L6:N6)</calculatedColumnFormula>
    </tableColumn>
    <tableColumn id="21" xr3:uid="{E294757A-E4FA-413B-9EF1-5A6BE6E513A3}" name="Threat probality Class" dataDxfId="110"/>
    <tableColumn id="22" xr3:uid="{034B6706-B835-40DD-B287-4C75AB2C44FA}" name="Vulnerability Class" dataDxfId="109"/>
    <tableColumn id="23" xr3:uid="{B302AD6E-5A90-40F0-97EB-CD52C1FC2C07}" name="Damage occurance Probability" dataDxfId="108">
      <calculatedColumnFormula>MAXA(P6-Q6,1)</calculatedColumnFormula>
    </tableColumn>
    <tableColumn id="24" xr3:uid="{1EE4A17D-0151-4C98-ACBD-1DF632C2732C}" name="Risk" dataDxfId="107">
      <calculatedColumnFormula>O6*R6</calculatedColumnFormula>
    </tableColumn>
    <tableColumn id="31" xr3:uid="{BC0BB0AA-81BA-4FB3-9BCF-09B33958F0F1}" name="Remarks" dataDxfId="106"/>
    <tableColumn id="32" xr3:uid="{BA978151-65F3-463C-A829-37B6C099DE5B}" name="Company" dataDxfId="105">
      <calculatedColumnFormula>$F$2</calculatedColumnFormula>
    </tableColumn>
    <tableColumn id="33" xr3:uid="{2C5F8819-4240-45EE-9FD8-C61E65817A4B}" name="Department" dataDxfId="104">
      <calculatedColumnFormula>$H$2</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1043133-3DBD-45AD-9CCE-C5FC16D1941D}" name="Worker_List" displayName="Worker_List" ref="A5:Z78" totalsRowShown="0" headerRowDxfId="103" dataDxfId="102" tableBorderDxfId="101">
  <autoFilter ref="A5:Z78" xr:uid="{91043133-3DBD-45AD-9CCE-C5FC16D1941D}"/>
  <tableColumns count="26">
    <tableColumn id="1" xr3:uid="{54DA9276-3C66-4A31-BE6C-498E749780D8}" name="Auto_No" dataDxfId="100">
      <calculatedColumnFormula>Worker_List[[#This Row],[Company]] &amp; "-" &amp; Worker_List[[#This Row],[Department]] &amp; "-" &amp; $I$2 &amp; "-" &amp; TEXT(COUNTIF(INDEX(Worker_List[Department],1):Worker_List[[#This Row],[Department]],Worker_List[[#This Row],[Department]]),"0000")</calculatedColumnFormula>
    </tableColumn>
    <tableColumn id="2" xr3:uid="{297CA30D-5D32-458C-AD44-9A3A916F6643}" name="ID" dataDxfId="99"/>
    <tableColumn id="3" xr3:uid="{A4F78D55-E170-4049-BA2C-16920D670F10}" name="Company Name/Business Partner Name" dataDxfId="98"/>
    <tableColumn id="4" xr3:uid="{B8BE6AED-F579-4143-8B47-72A4A1AFB6B9}" name="ALAP Employee Number" dataDxfId="97"/>
    <tableColumn id="5" xr3:uid="{C1DF15E1-10FB-4766-9C5B-866286124D1B}" name="Name of the person engaged" dataDxfId="96"/>
    <tableColumn id="6" xr3:uid="{8083CA90-DF77-490D-870F-0C18E878B7B9}" name="Email address of the person engaged" dataDxfId="95"/>
    <tableColumn id="25" xr3:uid="{053DA325-A796-4068-978E-FF58FFF4D70D}" name="Name (Mail)" dataDxfId="94">
      <calculatedColumnFormula>Worker_List[[#This Row],[Name of the person engaged]]&amp;"("&amp;Worker_List[[#This Row],[Email address of the person engaged]]&amp;")"</calculatedColumnFormula>
    </tableColumn>
    <tableColumn id="7" xr3:uid="{2F586D21-AA84-4121-9481-08A031362380}" name="Relationship with our company" dataDxfId="93"/>
    <tableColumn id="27" xr3:uid="{E72A6992-134F-40E5-8F52-98958E6E37A5}" name="Account ID" dataDxfId="92"/>
    <tableColumn id="8" xr3:uid="{5C5C4B33-E32C-4BBB-9740-6FC33223781C}" name="Start date of work for our company " dataDxfId="91"/>
    <tableColumn id="9" xr3:uid="{BE9618C8-B231-4843-8BD5-249AAE272C30}" name="Contract expire date" dataDxfId="90"/>
    <tableColumn id="10" xr3:uid="{290DADE2-2716-4AE1-AC4C-00332E0450B3}" name="Last ISMS Training Date" dataDxfId="89"/>
    <tableColumn id="11" xr3:uid="{9A278EC3-2075-4157-84A3-8BF353859E94}" name="Educated result / Class" dataDxfId="88"/>
    <tableColumn id="12" xr3:uid="{1BF57270-2A17-41DF-9952-1966D4147C53}" name="Planned Education Date" dataDxfId="87"/>
    <tableColumn id="13" xr3:uid="{E169B988-BE3D-4E84-AEA4-56EDB4815458}" name="Date of the Security Contract" dataDxfId="86"/>
    <tableColumn id="14" xr3:uid="{5AA97F53-DC7B-4CF8-8FCD-B6B8FFFA1E97}" name="Security Manager" dataDxfId="85"/>
    <tableColumn id="15" xr3:uid="{2F6786E7-6F08-419C-A207-83C5E66E4660}" name="PC Asset ID in Use" dataDxfId="84"/>
    <tableColumn id="16" xr3:uid="{794190EA-5B6D-449E-96FD-64F3C8AD28DB}" name="Company-issued smartphone number" dataDxfId="83"/>
    <tableColumn id="17" xr3:uid="{6262C7EA-21A0-4732-B790-D780FC69DA01}" name="Other issued equipment" dataDxfId="82"/>
    <tableColumn id="18" xr3:uid="{B1DA3B57-8BE4-44E3-994B-5E459DE56DAC}" name="Medium like USBMemory" dataDxfId="81"/>
    <tableColumn id="19" xr3:uid="{5CE430DB-D921-4898-BEA4-155D7B3FAE7E}" name="Prototype name" dataDxfId="80"/>
    <tableColumn id="20" xr3:uid="{33E05DEF-2C1A-4914-BF75-80A8AFC3047A}" name="System name" dataDxfId="79"/>
    <tableColumn id="21" xr3:uid="{93DD6F11-41F7-461E-B254-A2CA64480EFA}" name="Infomation Name" dataDxfId="78"/>
    <tableColumn id="22" xr3:uid="{0EF436CD-BF9A-42CC-8339-994788F8B526}" name="Remarks" dataDxfId="77"/>
    <tableColumn id="23" xr3:uid="{5B174B56-34CA-4B2F-B048-F07DFAD87529}" name="Company" dataDxfId="76">
      <calculatedColumnFormula>$F$2</calculatedColumnFormula>
    </tableColumn>
    <tableColumn id="24" xr3:uid="{9CF8931F-D172-44B1-B6B8-674855648467}" name="Department" dataDxfId="75">
      <calculatedColumnFormula>$H$2</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4973441-F672-4C1F-8D63-E1FE23EB579B}" name="Asset_Area" displayName="Asset_Area" ref="A5:N6" totalsRowShown="0" headerRowDxfId="74" dataDxfId="72" headerRowBorderDxfId="73" tableBorderDxfId="71">
  <autoFilter ref="A5:N6" xr:uid="{E4973441-F672-4C1F-8D63-E1FE23EB579B}"/>
  <tableColumns count="14">
    <tableColumn id="1" xr3:uid="{3A7B9F3D-CFF6-4385-8FAA-18972AE83C32}" name="Info_Proto" dataDxfId="70"/>
    <tableColumn id="3" xr3:uid="{C3AAF084-12BC-4AA6-AAFB-ADEA563CD08F}" name="Information Asset Name" dataDxfId="69"/>
    <tableColumn id="2" xr3:uid="{816EBC19-2A0F-4929-919A-5831F7A53021}" name="No(Info or Proto)" dataDxfId="68">
      <calculatedColumnFormula>IF(Asset_Area[[#This Row],[Info_Proto]]="Asset_Name_Info",_xlfn.XLOOKUP(Asset_Area[[#This Row],[Information Asset Name]],Info[Asset Name],Info[Auto_No],"Not Found",0),IF(Asset_Area[[#This Row],[Info_Proto]]="Asset_Name_Proto",_xlfn.XLOOKUP(Asset_Area[[#This Row],[Information Asset Name]],Prototype[Asset Name],Prototype[Auto_No],"Not Found",0),""))</calculatedColumnFormula>
    </tableColumn>
    <tableColumn id="12" xr3:uid="{A779A1F0-68BD-4ED7-A214-953E17C41A0F}" name="Importance" dataDxfId="67">
      <calculatedColumnFormula>IF(Asset_Area[[#This Row],[Info_Proto]]="Asset_Name_Info",_xlfn.XLOOKUP(Asset_Area[[#This Row],[Information Asset Name]],Info[Asset Name],Info[Importance],"Not Found",0),IF(Asset_Area[[#This Row],[Info_Proto]]="Asset_Name_Proto",_xlfn.XLOOKUP(Asset_Area[[#This Row],[Information Asset Name]],Prototype[Asset Name],Prototype[Importance],"Not Found",0),""))</calculatedColumnFormula>
    </tableColumn>
    <tableColumn id="4" xr3:uid="{CCB215D4-3650-4150-BEFF-0613C5565827}" name="Area select" dataDxfId="66"/>
    <tableColumn id="6" xr3:uid="{E426B616-326A-4B91-ABC0-7E6003E973C1}" name="Managed area where controll the asset" dataDxfId="65"/>
    <tableColumn id="5" xr3:uid="{7C087CF2-EED4-43CF-9140-DEAB25E251F2}" name="No(Supp/Ex-IT/SW/BizP/Project)" dataDxfId="64">
      <calculatedColumnFormula>IF(Asset_Area[[#This Row],[Area select]]="SupplimentName",_xlfn.XLOOKUP(Asset_Area[[#This Row],[Managed area where controll the asset]],Supplement[Asset Name],Supplement[Auto_No],"Not Found",0),IF(Asset_Area[[#This Row],[Area select]]="BP_Name",_xlfn.XLOOKUP(Asset_Area[[#This Row],[Managed area where controll the asset]],Business_Partner_List[Business Partner Name],Business_Partner_List[Auto_No],"Not Found",0),_xlfn.XLOOKUP(Asset_Area[[#This Row],[Managed area where controll the asset]],Project_List[Project Name],Project_List[Auto_No],"Not Found",0)))</calculatedColumnFormula>
    </tableColumn>
    <tableColumn id="13" xr3:uid="{C93FB50D-8144-407E-ABDA-30CF4A59676D}" name="Damage occurance Probability" dataDxfId="63">
      <calculatedColumnFormula>IF(Asset_Area[[#This Row],[Area select]]="SupplimentName",_xlfn.XLOOKUP(Asset_Area[[#This Row],[Managed area where controll the asset]],Supplement[Asset Name],Supplement[Damage occurance Probability],"Not Found",0),IF(Asset_Area[[#This Row],[Area select]]="BP_Name",_xlfn.XLOOKUP(Asset_Area[[#This Row],[Managed area where controll the asset]],Business_Partner_List[Business Partner Name],Business_Partner_List[Damage occurance Probability],"Not Found",0),IF(Asset_Area[[#This Row],[Area select]]="Project_Name",_xlfn.XLOOKUP(Asset_Area[[#This Row],[Managed area where controll the asset]],Project_List[Project Name],Project_List[Damage occurance Probability],"Not Found",0),"Please set colum of Area select")))</calculatedColumnFormula>
    </tableColumn>
    <tableColumn id="15" xr3:uid="{105AED99-6380-4152-88D7-F4F6AE626D08}" name="Risk (Info_Prot*Area)" dataDxfId="62">
      <calculatedColumnFormula>Asset_Area[[#This Row],[Importance]]*Asset_Area[[#This Row],[Damage occurance Probability]]</calculatedColumnFormula>
    </tableColumn>
    <tableColumn id="10" xr3:uid="{18D552EE-5513-46D2-BD74-EF48014ADEDF}" name="Usage satart date" dataDxfId="61"/>
    <tableColumn id="11" xr3:uid="{A26E9BB0-97E1-490A-A5AC-8096FB3C511D}" name="Stop Date" dataDxfId="60"/>
    <tableColumn id="7" xr3:uid="{EEB8AD3D-5180-4FEF-8585-AD393E2D3055}" name="Remarks" dataDxfId="59"/>
    <tableColumn id="8" xr3:uid="{C1A3755C-8F22-492C-85FF-551E4F8B181D}" name="Company" dataDxfId="58">
      <calculatedColumnFormula>$F$2</calculatedColumnFormula>
    </tableColumn>
    <tableColumn id="9" xr3:uid="{06B51928-19E8-49FB-8F37-EBDBE613128D}" name="Department" dataDxfId="57">
      <calculatedColumnFormula>$H$2</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7FCCD3C-D433-4F15-B0BC-22E0C39B717C}" name="Worker_access" displayName="Worker_access" ref="A5:N6" totalsRowShown="0" headerRowDxfId="56" headerRowBorderDxfId="55" tableBorderDxfId="54" totalsRowBorderDxfId="53">
  <autoFilter ref="A5:N6" xr:uid="{17FCCD3C-D433-4F15-B0BC-22E0C39B717C}"/>
  <tableColumns count="14">
    <tableColumn id="3" xr3:uid="{F8D083C8-E828-41EA-9DAA-CFB4648CC9CA}" name="Name (Mail)" dataDxfId="52"/>
    <tableColumn id="15" xr3:uid="{9BE7EA05-086F-4A34-96B2-AFAF0C188933}" name="AD Account" dataDxfId="51">
      <calculatedColumnFormula>_xlfn.XLOOKUP(Worker_access[[#This Row],[Name (Mail)]],Worker_List[Name (Mail)],Worker_List[Account ID],"Not Found",0)</calculatedColumnFormula>
    </tableColumn>
    <tableColumn id="4" xr3:uid="{54E3974C-CCD7-445D-907D-23CECB1B2FC8}" name="Area select" dataDxfId="50"/>
    <tableColumn id="6" xr3:uid="{8DF3BF57-B843-4249-B050-E55C702AE368}" name="Managed area where controll the asset" dataDxfId="49"/>
    <tableColumn id="5" xr3:uid="{A8BD84D2-5DBA-4F7E-BDEF-576EFC1C1EE4}" name="No(Supp/Ex-IT/SW/BizP/Project)" dataDxfId="48">
      <calculatedColumnFormula>IF(Worker_access[[#This Row],[Area select]]="SupplimentName",_xlfn.XLOOKUP(Worker_access[[#This Row],[Managed area where controll the asset]],Supplement[Asset Name],Supplement[Auto_No],"Not Found",0),IF(Worker_access[[#This Row],[Area select]]="BP_Name",_xlfn.XLOOKUP(Worker_access[[#This Row],[Managed area where controll the asset]],Business_Partner_List[Business Partner Name],Business_Partner_List[Auto_No],"Not Found",0),IF(Worker_access[[#This Row],[Area select]]="Project_Name",_xlfn.XLOOKUP(Worker_access[[#This Row],[Managed area where controll the asset]],Project_List[Project Name],Project_List[Auto_No],"Not Found",0),"")))</calculatedColumnFormula>
    </tableColumn>
    <tableColumn id="10" xr3:uid="{7FF9DCC8-C0B3-4719-9916-B6D8DD46A763}" name="Account ID" dataDxfId="47"/>
    <tableColumn id="1" xr3:uid="{F69B2370-28A1-47B4-843B-BFF8444CACB8}" name="Start Date" dataDxfId="46"/>
    <tableColumn id="7" xr3:uid="{5FA25CBD-3600-4BBE-93F1-6FF8E4457111}" name="Authority" dataDxfId="45"/>
    <tableColumn id="8" xr3:uid="{ADFBD4C4-9044-41E9-AF1A-5D7D00582ACF}" name="Training Requierment" dataDxfId="44">
      <calculatedColumnFormula>IF(Worker_access[[#This Row],[Area select]]="SupplimentName",_xlfn.XLOOKUP(Worker_access[[#This Row],[Managed area where controll the asset]],Supplement[Asset Name],Supplement[Training Requirement],"Not Found",0),IF(Worker_access[[#This Row],[Area select]]="BP_Name",_xlfn.XLOOKUP(Worker_access[[#This Row],[Managed area where controll the asset]],Business_Partner_List[Business Partner Name],Business_Partner_List[Training Requirement],"Not Found",0),IF(Worker_access[[#This Row],[Area select]]="Project_Name",_xlfn.XLOOKUP(Worker_access[[#This Row],[Managed area where controll the asset]],Project_List[Project Name],Project_List[Training Requirement],"Not Found",0),"")))</calculatedColumnFormula>
    </tableColumn>
    <tableColumn id="9" xr3:uid="{559A33AB-BEEE-4DA4-A3CB-0A186A5C9F9E}" name="Date of Training" dataDxfId="43"/>
    <tableColumn id="11" xr3:uid="{6F73957E-6307-4787-8C67-96A37F539943}" name="Account Privilege Description" dataDxfId="42"/>
    <tableColumn id="12" xr3:uid="{25686744-7437-4CDB-8500-CA509D8196CA}" name="Remarks" dataDxfId="41"/>
    <tableColumn id="13" xr3:uid="{D83910E8-FBAD-4C52-9CCC-4F4BE0B7577E}" name="Company" dataDxfId="40">
      <calculatedColumnFormula>$F$2</calculatedColumnFormula>
    </tableColumn>
    <tableColumn id="14" xr3:uid="{4C195251-D3C0-4D38-B073-FD80E3EA8231}" name="Department" dataDxfId="39">
      <calculatedColumnFormula>$H$2</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24449ABE-3CA2-4B81-9929-436301F766F6}" name="Software_User" displayName="Software_User" ref="A5:N6" totalsRowShown="0" headerRowDxfId="321" headerRowBorderDxfId="320" tableBorderDxfId="319" totalsRowBorderDxfId="318">
  <autoFilter ref="A5:N6" xr:uid="{17FCCD3C-D433-4F15-B0BC-22E0C39B717C}"/>
  <tableColumns count="14">
    <tableColumn id="3" xr3:uid="{D2CE7B70-C8D7-446D-9BC0-33452C6E640B}" name="Name (Mail)" dataDxfId="317"/>
    <tableColumn id="15" xr3:uid="{41623592-00E5-417D-BD27-4DA307CA3AAE}" name="AD Account" dataDxfId="316">
      <calculatedColumnFormula>_xlfn.XLOOKUP(Software_User[[#This Row],[Name (Mail)]],Worker_List[Name (Mail)],Worker_List[Account ID],"Not Found",0)</calculatedColumnFormula>
    </tableColumn>
    <tableColumn id="4" xr3:uid="{ED2C9A0F-87FF-44EE-8922-FFDE56E9046D}" name="Area select" dataDxfId="315"/>
    <tableColumn id="6" xr3:uid="{9F396358-5B9F-4421-8DB0-08E0DC386681}" name="Managed area where controll the asset" dataDxfId="314"/>
    <tableColumn id="5" xr3:uid="{D42FC79D-00D2-4947-A880-BBFF8E3C6A12}" name="No(Supp/Ex-IT/SW/BizP/Project)" dataDxfId="313">
      <calculatedColumnFormula>_xlfn.XLOOKUP(Software_User[[#This Row],[Managed area where controll the asset]],SoftWare[Asset Name],SoftWare[Auto_No],"Not Found",0)</calculatedColumnFormula>
    </tableColumn>
    <tableColumn id="10" xr3:uid="{F28996FE-D98A-488B-B9F9-9CC2BC109834}" name="Account ID" dataDxfId="312"/>
    <tableColumn id="1" xr3:uid="{EC0AD276-B541-49A9-BF81-B2C864AFA536}" name="Start Date" dataDxfId="311"/>
    <tableColumn id="7" xr3:uid="{AD10A3C7-3E06-4605-8E50-F632864AD2CD}" name="Authority" dataDxfId="310"/>
    <tableColumn id="8" xr3:uid="{45B9E3E3-7FFA-4BDC-AF75-AF214667AA24}" name="Training Requierment" dataDxfId="309">
      <calculatedColumnFormula>_xlfn.XLOOKUP(Software_User[[#This Row],[Managed area where controll the asset]],SoftWare[Asset Name],SoftWare[Training Requirement],"Not Found",0)</calculatedColumnFormula>
    </tableColumn>
    <tableColumn id="9" xr3:uid="{45C21903-7D2C-4CB6-98C7-F3ADE888E22A}" name="Date of Training" dataDxfId="308"/>
    <tableColumn id="11" xr3:uid="{4534FF70-5F76-4E5C-BEB7-6A90E46D9EAA}" name="Account Privilege Description" dataDxfId="307"/>
    <tableColumn id="12" xr3:uid="{29FD1A97-7DAB-4D0C-B2AA-EA236E2448E8}" name="Remarks" dataDxfId="306"/>
    <tableColumn id="13" xr3:uid="{A5125076-762A-4DE0-BFD4-BC2B6A065949}" name="Company" dataDxfId="305">
      <calculatedColumnFormula>$F$2</calculatedColumnFormula>
    </tableColumn>
    <tableColumn id="14" xr3:uid="{8DA9843A-21BA-4A36-BDA2-4E216705F41E}" name="Department" dataDxfId="304">
      <calculatedColumnFormula>$H$2</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0F03ED-8D27-4A42-9F22-8BB451DDF074}" name="ProtectClass" displayName="ProtectClass" ref="A1:A9" totalsRowShown="0">
  <autoFilter ref="A1:A9" xr:uid="{D30F03ED-8D27-4A42-9F22-8BB451DDF074}"/>
  <tableColumns count="1">
    <tableColumn id="1" xr3:uid="{E5D71B43-8684-4EA6-99C0-0A7A67B811C5}" name="Required Protect Clas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243D9EB-4EA3-40E2-9605-36FDC3F1C71B}" name="Classifications" displayName="Classifications" ref="B1:B6" totalsRowShown="0">
  <autoFilter ref="B1:B6" xr:uid="{4243D9EB-4EA3-40E2-9605-36FDC3F1C71B}"/>
  <tableColumns count="1">
    <tableColumn id="1" xr3:uid="{0AB4D943-E3E7-4E40-BC33-49DDC4384A21}" name="Critical Information Classificatio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E3B98D5-C7CE-4DCA-927D-0C8EBE30431C}" name="Customer" displayName="Customer" ref="C1:C33" totalsRowShown="0">
  <autoFilter ref="C1:C33" xr:uid="{3E3B98D5-C7CE-4DCA-927D-0C8EBE30431C}"/>
  <sortState xmlns:xlrd2="http://schemas.microsoft.com/office/spreadsheetml/2017/richdata2" ref="C2:C33">
    <sortCondition ref="C1:C33"/>
  </sortState>
  <tableColumns count="1">
    <tableColumn id="1" xr3:uid="{1086C031-1B40-40E0-AE31-01CAABE206FB}" name="Customer Nam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F07892-7805-4BC7-B3FC-B5BE2013FAF8}" name="Business" displayName="Business" ref="F1:F12" totalsRowShown="0">
  <autoFilter ref="F1:F12" xr:uid="{D0F07892-7805-4BC7-B3FC-B5BE2013FAF8}"/>
  <tableColumns count="1">
    <tableColumn id="1" xr3:uid="{5E744034-2F3E-4CEE-B402-77DE6BF6E64F}" name="Business Area"/>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6B2280B-0124-46C1-9894-1962CACC5D96}" name="Info_Category" displayName="Info_Category" ref="D1:E5" totalsRowShown="0">
  <autoFilter ref="D1:E5" xr:uid="{C6B2280B-0124-46C1-9894-1962CACC5D96}"/>
  <tableColumns count="2">
    <tableColumn id="1" xr3:uid="{A2DA34EE-9514-4FC0-8532-519C913E5DE3}" name="Information Category" dataDxfId="38"/>
    <tableColumn id="2" xr3:uid="{63803B83-23A1-4F18-992A-F3783C8623D0}" name="Explai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F454EF2-3329-4FD0-B7C7-90C6DB6F3785}" name="Confi" displayName="Confi" ref="G1:G5" totalsRowShown="0" headerRowDxfId="37" headerRowBorderDxfId="36" tableBorderDxfId="35">
  <autoFilter ref="G1:G5" xr:uid="{DF454EF2-3329-4FD0-B7C7-90C6DB6F3785}"/>
  <tableColumns count="1">
    <tableColumn id="1" xr3:uid="{774691A0-D5E6-41E2-9E15-F43F32B74663}" name="Confidentiality"/>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DBA124F-5C7D-4759-AC93-1C90AF2033C6}" name="Integ" displayName="Integ" ref="H1:H4" totalsRowShown="0" headerRowDxfId="34" headerRowBorderDxfId="33" tableBorderDxfId="32">
  <autoFilter ref="H1:H4" xr:uid="{2DBA124F-5C7D-4759-AC93-1C90AF2033C6}"/>
  <tableColumns count="1">
    <tableColumn id="1" xr3:uid="{AD78C141-C739-4B46-9B1D-3D13FFFFECEF}" name="Integrity"/>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9C07E5E-2C0D-4018-8E39-625F55B8024D}" name="Avail" displayName="Avail" ref="I1:I4" totalsRowShown="0" headerRowDxfId="31" headerRowBorderDxfId="30" tableBorderDxfId="29">
  <autoFilter ref="I1:I4" xr:uid="{49C07E5E-2C0D-4018-8E39-625F55B8024D}"/>
  <tableColumns count="1">
    <tableColumn id="1" xr3:uid="{C58707EE-D4E0-40DE-927A-170343A2BAFC}" name="Availability"/>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05A986B-980A-430E-B865-5F376BDC72C7}" name="TreatClass" displayName="TreatClass" ref="J1:J4" totalsRowShown="0" headerRowDxfId="28" headerRowBorderDxfId="27" tableBorderDxfId="26">
  <autoFilter ref="J1:J4" xr:uid="{505A986B-980A-430E-B865-5F376BDC72C7}"/>
  <tableColumns count="1">
    <tableColumn id="1" xr3:uid="{8131CE1B-B85B-4764-9E49-88CE6B0752AA}" name="Threat probality Class"/>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7ADF94E-C008-4C21-BF55-B2BDEE937DD1}" name="Vulnerability" displayName="Vulnerability" ref="K1:K4" totalsRowShown="0" headerRowDxfId="25" headerRowBorderDxfId="24" tableBorderDxfId="23">
  <autoFilter ref="K1:K4" xr:uid="{C7ADF94E-C008-4C21-BF55-B2BDEE937DD1}"/>
  <tableColumns count="1">
    <tableColumn id="1" xr3:uid="{FB4B6534-0197-4BED-BB67-8D4D15E4E9DC}" name="Vulnerability Class"/>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A4E356A-BAA0-449D-848F-8812A4AD1546}" name="Media_form_T" displayName="Media_form_T" ref="L1:L5" totalsRowShown="0" headerRowDxfId="22" headerRowBorderDxfId="21" tableBorderDxfId="20" totalsRowBorderDxfId="19">
  <autoFilter ref="L1:L5" xr:uid="{0A4E356A-BAA0-449D-848F-8812A4AD1546}"/>
  <tableColumns count="1">
    <tableColumn id="1" xr3:uid="{FF8749DB-4C2E-4D30-B94E-9F48D041A303}" name="Media form"/>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FCB0716-C468-431F-8472-68C566C5D8F1}" name="Publicity" displayName="Publicity" ref="M1:M3" totalsRowShown="0">
  <autoFilter ref="M1:M3" xr:uid="{3FCB0716-C468-431F-8472-68C566C5D8F1}"/>
  <tableColumns count="1">
    <tableColumn id="1" xr3:uid="{2FAD52B0-7267-40D5-885E-B5653E1716FB}" name="External Public"/>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3FB42F8-B217-4E7C-B2F8-92D177C1A456}" name="Types_of_Assets" displayName="Types_of_Assets" ref="N1:N9" totalsRowShown="0">
  <autoFilter ref="N1:N9" xr:uid="{23FB42F8-B217-4E7C-B2F8-92D177C1A456}"/>
  <tableColumns count="1">
    <tableColumn id="1" xr3:uid="{ED8D08D5-C7FE-449A-853A-2CF08CDA22A4}" name="Types of Assets"/>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93DDA4B-4687-468C-B24F-D7605B89B551}" name="Store_Select" displayName="Store_Select" ref="O1:O4" totalsRowShown="0">
  <autoFilter ref="O1:O4" xr:uid="{D93DDA4B-4687-468C-B24F-D7605B89B551}"/>
  <tableColumns count="1">
    <tableColumn id="1" xr3:uid="{B7ADC0A2-A44A-4EAB-A7C2-3AF7A11F8582}" name="Store_Area"/>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5E01049-9607-403F-9011-33E112597EBB}" name="テーブル22" displayName="テーブル22" ref="P1:P6" totalsRowShown="0">
  <autoFilter ref="P1:P6" xr:uid="{35E01049-9607-403F-9011-33E112597EBB}"/>
  <tableColumns count="1">
    <tableColumn id="1" xr3:uid="{FDB0865E-F070-47BE-B49C-D063E8C3BA1F}" name="Worker_Type"/>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A7A580B-72D2-4FC4-B822-9F27ABB5E64A}" name="LicenseType" displayName="LicenseType" ref="Q1:Q5" totalsRowShown="0">
  <autoFilter ref="Q1:Q5" xr:uid="{6A7A580B-72D2-4FC4-B822-9F27ABB5E64A}"/>
  <tableColumns count="1">
    <tableColumn id="1" xr3:uid="{5079F035-F633-49DB-AFCB-FEAEA3800871}" name="License_Type"/>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2D45F6F-02C3-4598-8395-9EAC7D28EF0C}" name="Information_Category_N" displayName="Information_Category_N" ref="S1:S5" totalsRowShown="0" headerRowDxfId="18" headerRowBorderDxfId="17" tableBorderDxfId="16" totalsRowBorderDxfId="15">
  <autoFilter ref="S1:S5" xr:uid="{D2D45F6F-02C3-4598-8395-9EAC7D28EF0C}"/>
  <tableColumns count="1">
    <tableColumn id="1" xr3:uid="{37333C70-B2C4-4384-BD83-7A110EEAAB7F}" name="Information Category 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table" Target="../tables/table18.xml"/><Relationship Id="rId13" Type="http://schemas.openxmlformats.org/officeDocument/2006/relationships/table" Target="../tables/table23.xml"/><Relationship Id="rId3" Type="http://schemas.openxmlformats.org/officeDocument/2006/relationships/table" Target="../tables/table13.xml"/><Relationship Id="rId7" Type="http://schemas.openxmlformats.org/officeDocument/2006/relationships/table" Target="../tables/table17.xml"/><Relationship Id="rId12" Type="http://schemas.openxmlformats.org/officeDocument/2006/relationships/table" Target="../tables/table22.xml"/><Relationship Id="rId17" Type="http://schemas.openxmlformats.org/officeDocument/2006/relationships/table" Target="../tables/table27.xml"/><Relationship Id="rId2" Type="http://schemas.openxmlformats.org/officeDocument/2006/relationships/table" Target="../tables/table12.xml"/><Relationship Id="rId16" Type="http://schemas.openxmlformats.org/officeDocument/2006/relationships/table" Target="../tables/table26.xml"/><Relationship Id="rId1" Type="http://schemas.openxmlformats.org/officeDocument/2006/relationships/table" Target="../tables/table11.xml"/><Relationship Id="rId6" Type="http://schemas.openxmlformats.org/officeDocument/2006/relationships/table" Target="../tables/table16.xml"/><Relationship Id="rId11" Type="http://schemas.openxmlformats.org/officeDocument/2006/relationships/table" Target="../tables/table21.xml"/><Relationship Id="rId5" Type="http://schemas.openxmlformats.org/officeDocument/2006/relationships/table" Target="../tables/table15.xml"/><Relationship Id="rId15" Type="http://schemas.openxmlformats.org/officeDocument/2006/relationships/table" Target="../tables/table2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 Id="rId14" Type="http://schemas.openxmlformats.org/officeDocument/2006/relationships/table" Target="../tables/table2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3D715-8E7D-428C-A95D-4D01E218432C}">
  <sheetPr codeName="Sheet1">
    <tabColor rgb="FF66CCFF"/>
  </sheetPr>
  <dimension ref="A1:BD95"/>
  <sheetViews>
    <sheetView zoomScale="80" zoomScaleNormal="80" workbookViewId="0">
      <pane xSplit="1" ySplit="5" topLeftCell="B81" activePane="bottomRight" state="frozen"/>
      <selection pane="topRight" activeCell="B1" sqref="B1"/>
      <selection pane="bottomLeft" activeCell="A8" sqref="A8"/>
      <selection pane="bottomRight" activeCell="C11" sqref="C11"/>
    </sheetView>
  </sheetViews>
  <sheetFormatPr defaultColWidth="2.625" defaultRowHeight="15.95" customHeight="1" outlineLevelRow="1"/>
  <cols>
    <col min="1" max="1" width="21.875" style="2" bestFit="1" customWidth="1"/>
    <col min="2" max="2" width="15.25" style="2" customWidth="1"/>
    <col min="3" max="3" width="20.125" style="1" customWidth="1"/>
    <col min="4" max="4" width="26.875" style="2" bestFit="1" customWidth="1"/>
    <col min="5" max="5" width="35.25" style="2" bestFit="1" customWidth="1"/>
    <col min="6" max="6" width="20.5" style="2" bestFit="1" customWidth="1"/>
    <col min="7" max="7" width="23.25" style="2" customWidth="1"/>
    <col min="8" max="8" width="20.25" bestFit="1" customWidth="1"/>
    <col min="9" max="9" width="15.875" bestFit="1" customWidth="1"/>
    <col min="10" max="10" width="32.25" bestFit="1" customWidth="1"/>
    <col min="11" max="11" width="23.375" style="2" customWidth="1"/>
    <col min="12" max="12" width="39.75" customWidth="1"/>
    <col min="13" max="13" width="15.875" bestFit="1" customWidth="1"/>
    <col min="14" max="14" width="11.875" bestFit="1" customWidth="1"/>
    <col min="15" max="15" width="21.25" customWidth="1"/>
    <col min="16" max="16" width="13.875" bestFit="1" customWidth="1"/>
    <col min="17" max="17" width="22.625" style="2" bestFit="1" customWidth="1"/>
    <col min="18" max="18" width="21.875" customWidth="1"/>
    <col min="19" max="19" width="20.75" customWidth="1"/>
    <col min="20" max="20" width="19.375" style="1" bestFit="1" customWidth="1"/>
    <col min="21" max="21" width="13.5" bestFit="1" customWidth="1"/>
    <col min="22" max="22" width="15.75" bestFit="1" customWidth="1"/>
    <col min="23" max="23" width="25" bestFit="1" customWidth="1"/>
    <col min="24" max="24" width="20.375" bestFit="1" customWidth="1"/>
    <col min="25" max="25" width="16" bestFit="1" customWidth="1"/>
    <col min="26" max="26" width="13.625" bestFit="1" customWidth="1"/>
    <col min="27" max="27" width="15.5" bestFit="1" customWidth="1"/>
    <col min="28" max="28" width="16.625" bestFit="1" customWidth="1"/>
    <col min="29" max="29" width="15.25" style="2" bestFit="1" customWidth="1"/>
    <col min="30" max="30" width="18" style="2" bestFit="1" customWidth="1"/>
    <col min="31" max="31" width="23.375" bestFit="1" customWidth="1"/>
    <col min="32" max="32" width="16.625" bestFit="1" customWidth="1"/>
    <col min="33" max="33" width="13.375" bestFit="1" customWidth="1"/>
    <col min="34" max="34" width="13.75" style="1" bestFit="1" customWidth="1"/>
    <col min="35" max="35" width="16.375" style="1" bestFit="1" customWidth="1"/>
    <col min="36" max="36" width="77.875" bestFit="1" customWidth="1"/>
    <col min="37" max="37" width="7.625" style="1" bestFit="1" customWidth="1"/>
    <col min="38" max="38" width="7.25" style="1" bestFit="1" customWidth="1"/>
    <col min="39" max="39" width="18.625" style="1" customWidth="1"/>
    <col min="40" max="40" width="9.25" style="1" bestFit="1" customWidth="1"/>
    <col min="41" max="41" width="5.75" style="1" bestFit="1" customWidth="1"/>
    <col min="42" max="42" width="6.5" style="1" bestFit="1" customWidth="1"/>
    <col min="43" max="43" width="6" style="1" bestFit="1" customWidth="1"/>
    <col min="44" max="44" width="4.75" style="1" bestFit="1" customWidth="1"/>
    <col min="45" max="45" width="14.125" style="1" customWidth="1"/>
    <col min="46" max="47" width="15" style="1" customWidth="1"/>
    <col min="48" max="48" width="18.625" style="1" customWidth="1"/>
    <col min="49" max="49" width="19" style="1" customWidth="1"/>
    <col min="50" max="50" width="19.125" style="1" customWidth="1"/>
    <col min="51" max="51" width="15.375" style="1" customWidth="1"/>
    <col min="52" max="16384" width="2.625" style="1"/>
  </cols>
  <sheetData>
    <row r="1" spans="1:56" ht="16.5">
      <c r="A1" s="100" t="s">
        <v>1327</v>
      </c>
      <c r="C1" s="2"/>
      <c r="E1" s="1"/>
      <c r="F1" s="1"/>
      <c r="H1" s="100"/>
      <c r="I1" s="1"/>
      <c r="J1" s="2"/>
      <c r="L1" s="1"/>
      <c r="M1" s="2"/>
      <c r="N1" s="2"/>
      <c r="O1" s="2"/>
      <c r="P1" s="2"/>
      <c r="R1" s="2"/>
      <c r="S1" s="1"/>
      <c r="U1" s="2"/>
      <c r="V1" s="1"/>
      <c r="W1" s="2"/>
      <c r="X1" s="1"/>
      <c r="Y1" s="1"/>
      <c r="Z1" s="1"/>
      <c r="AA1" s="1"/>
      <c r="AB1" s="1"/>
      <c r="AC1" s="1"/>
      <c r="AD1" s="1"/>
      <c r="AE1" s="1"/>
      <c r="AF1" s="1"/>
      <c r="AG1" s="1"/>
      <c r="AJ1" s="1"/>
    </row>
    <row r="2" spans="1:56" ht="15.95" customHeight="1" outlineLevel="1">
      <c r="A2" s="3" t="s">
        <v>0</v>
      </c>
      <c r="B2" s="3" t="s">
        <v>1</v>
      </c>
      <c r="C2" s="3" t="s">
        <v>2</v>
      </c>
      <c r="D2" s="45"/>
      <c r="E2" s="2" t="s">
        <v>3</v>
      </c>
      <c r="F2" s="2" t="s">
        <v>795</v>
      </c>
      <c r="G2" s="2" t="s">
        <v>25</v>
      </c>
      <c r="H2" s="2" t="s">
        <v>796</v>
      </c>
      <c r="I2" s="2" t="s">
        <v>4</v>
      </c>
      <c r="J2" s="2"/>
      <c r="K2" s="1"/>
      <c r="L2" s="2"/>
      <c r="M2" s="2"/>
      <c r="N2" s="2"/>
      <c r="O2" s="2"/>
      <c r="P2" s="1"/>
      <c r="R2" s="1"/>
      <c r="S2" s="1"/>
      <c r="U2" s="2"/>
      <c r="V2" s="1"/>
      <c r="W2" s="2"/>
      <c r="X2" s="1"/>
      <c r="Y2" s="1"/>
      <c r="Z2" s="1"/>
      <c r="AA2" s="1"/>
      <c r="AB2" s="1"/>
      <c r="AC2" s="1"/>
      <c r="AD2" s="1"/>
      <c r="AE2" s="1"/>
      <c r="AF2" s="1"/>
      <c r="AG2" s="1"/>
      <c r="AJ2" s="1"/>
    </row>
    <row r="3" spans="1:56" ht="65.25" customHeight="1">
      <c r="A3" s="371"/>
      <c r="B3" s="371"/>
      <c r="C3" s="371"/>
      <c r="D3" s="372"/>
      <c r="E3" s="1"/>
      <c r="F3" s="1"/>
      <c r="G3" s="1"/>
      <c r="H3" s="1"/>
      <c r="I3" s="1"/>
      <c r="J3" s="2"/>
      <c r="L3" s="1"/>
      <c r="M3" s="1"/>
      <c r="N3" s="2"/>
      <c r="O3" s="2"/>
      <c r="P3" s="1"/>
      <c r="R3" s="1"/>
      <c r="S3" s="1"/>
      <c r="U3" s="2"/>
      <c r="V3" s="1"/>
      <c r="W3" s="2"/>
      <c r="X3" s="1"/>
      <c r="Y3" s="1"/>
      <c r="Z3" s="1"/>
      <c r="AA3" s="1"/>
      <c r="AB3" s="1"/>
      <c r="AC3" s="1"/>
      <c r="AD3" s="1"/>
      <c r="AE3" s="1"/>
      <c r="AF3" s="1"/>
      <c r="AG3" s="1"/>
      <c r="AJ3" s="1"/>
    </row>
    <row r="4" spans="1:56" s="2" customFormat="1" ht="76.900000000000006" customHeight="1">
      <c r="A4" s="373" t="s">
        <v>116</v>
      </c>
      <c r="B4" s="373" t="s">
        <v>113</v>
      </c>
      <c r="C4" s="374" t="s">
        <v>1328</v>
      </c>
      <c r="D4" s="374" t="s">
        <v>1329</v>
      </c>
      <c r="E4" s="374" t="s">
        <v>255</v>
      </c>
      <c r="F4" s="374" t="s">
        <v>265</v>
      </c>
      <c r="G4" s="374" t="s">
        <v>1330</v>
      </c>
      <c r="H4" s="374" t="s">
        <v>1331</v>
      </c>
      <c r="I4" s="375" t="s">
        <v>1332</v>
      </c>
      <c r="J4" s="374" t="s">
        <v>1333</v>
      </c>
      <c r="K4" s="374" t="s">
        <v>1334</v>
      </c>
      <c r="L4" s="374" t="s">
        <v>1335</v>
      </c>
      <c r="M4" s="374" t="s">
        <v>1336</v>
      </c>
      <c r="N4" s="374" t="s">
        <v>1337</v>
      </c>
      <c r="O4" s="375" t="s">
        <v>1338</v>
      </c>
      <c r="P4" s="375" t="s">
        <v>1339</v>
      </c>
      <c r="Q4" s="375" t="s">
        <v>329</v>
      </c>
      <c r="R4" s="374" t="s">
        <v>1340</v>
      </c>
      <c r="S4" s="376" t="s">
        <v>1341</v>
      </c>
      <c r="T4" s="376" t="s">
        <v>1342</v>
      </c>
      <c r="U4" s="376" t="s">
        <v>1343</v>
      </c>
      <c r="V4" s="377" t="s">
        <v>1344</v>
      </c>
      <c r="W4" s="376" t="s">
        <v>1345</v>
      </c>
      <c r="X4" s="376" t="s">
        <v>1346</v>
      </c>
      <c r="Y4" s="377" t="s">
        <v>1347</v>
      </c>
      <c r="Z4" s="377" t="s">
        <v>1348</v>
      </c>
      <c r="AA4" s="323" t="s">
        <v>1349</v>
      </c>
      <c r="AB4" s="323" t="s">
        <v>1350</v>
      </c>
      <c r="AC4" s="323" t="s">
        <v>1351</v>
      </c>
    </row>
    <row r="5" spans="1:56" s="2" customFormat="1" ht="50.45" customHeight="1">
      <c r="A5" s="50" t="s">
        <v>116</v>
      </c>
      <c r="B5" s="50" t="s">
        <v>113</v>
      </c>
      <c r="C5" s="51" t="s">
        <v>5</v>
      </c>
      <c r="D5" s="51" t="s">
        <v>6</v>
      </c>
      <c r="E5" s="51" t="s">
        <v>7</v>
      </c>
      <c r="F5" s="51" t="s">
        <v>8</v>
      </c>
      <c r="G5" s="51" t="s">
        <v>217</v>
      </c>
      <c r="H5" s="51" t="s">
        <v>218</v>
      </c>
      <c r="I5" s="51" t="s">
        <v>10</v>
      </c>
      <c r="J5" s="51" t="s">
        <v>11</v>
      </c>
      <c r="K5" s="51" t="s">
        <v>12</v>
      </c>
      <c r="L5" s="51" t="s">
        <v>787</v>
      </c>
      <c r="M5" s="51" t="s">
        <v>13</v>
      </c>
      <c r="N5" s="51" t="s">
        <v>115</v>
      </c>
      <c r="O5" s="51" t="s">
        <v>14</v>
      </c>
      <c r="P5" s="51" t="s">
        <v>225</v>
      </c>
      <c r="Q5" s="330" t="s">
        <v>15</v>
      </c>
      <c r="R5" s="51" t="s">
        <v>16</v>
      </c>
      <c r="S5" s="52" t="s">
        <v>17</v>
      </c>
      <c r="T5" s="53" t="s">
        <v>18</v>
      </c>
      <c r="U5" s="53" t="s">
        <v>19</v>
      </c>
      <c r="V5" s="54" t="s">
        <v>32</v>
      </c>
      <c r="W5" s="308" t="s">
        <v>20</v>
      </c>
      <c r="X5" s="308" t="s">
        <v>21</v>
      </c>
      <c r="Y5" s="54" t="s">
        <v>22</v>
      </c>
      <c r="Z5" s="55" t="s">
        <v>23</v>
      </c>
      <c r="AA5" s="56" t="s">
        <v>24</v>
      </c>
      <c r="AB5" s="56" t="s">
        <v>3</v>
      </c>
      <c r="AC5" s="57" t="s">
        <v>25</v>
      </c>
    </row>
    <row r="6" spans="1:56" ht="14.25">
      <c r="A6" s="331" t="str">
        <f>Info[[#This Row],[Company]] &amp; "-" &amp; Info[[#This Row],[Department]] &amp; "-" &amp; $I$2 &amp; "-" &amp; TEXT(COUNTIF(INDEX(Info[Department],1):Info[[#This Row],[Department]],Info[[#This Row],[Department]]),"0000")</f>
        <v>CIRQUE-All-Info-0001</v>
      </c>
      <c r="B6" s="297"/>
      <c r="C6" s="6" t="s">
        <v>797</v>
      </c>
      <c r="D6" s="7" t="s">
        <v>887</v>
      </c>
      <c r="E6" s="6" t="s">
        <v>222</v>
      </c>
      <c r="F6" s="6" t="s">
        <v>889</v>
      </c>
      <c r="G6" s="6" t="s">
        <v>223</v>
      </c>
      <c r="H6" s="295" t="s">
        <v>890</v>
      </c>
      <c r="I6" s="295" t="s">
        <v>892</v>
      </c>
      <c r="J6" s="6" t="s">
        <v>899</v>
      </c>
      <c r="K6" s="8" t="s">
        <v>900</v>
      </c>
      <c r="L6" s="6" t="s">
        <v>903</v>
      </c>
      <c r="M6" s="6" t="s">
        <v>906</v>
      </c>
      <c r="N6" s="8" t="s">
        <v>906</v>
      </c>
      <c r="O6" s="9" t="s">
        <v>907</v>
      </c>
      <c r="P6" s="329" t="s">
        <v>912</v>
      </c>
      <c r="Q6" s="8"/>
      <c r="R6" s="6" t="s">
        <v>914</v>
      </c>
      <c r="S6" s="7">
        <v>4</v>
      </c>
      <c r="T6" s="7">
        <v>3</v>
      </c>
      <c r="U6" s="7">
        <v>2</v>
      </c>
      <c r="V6" s="68">
        <f>MAX(S6:U95)</f>
        <v>4</v>
      </c>
      <c r="W6" s="7">
        <v>2</v>
      </c>
      <c r="X6" s="7">
        <v>3</v>
      </c>
      <c r="Y6" s="10">
        <f>MAXA(W6-X6,1)</f>
        <v>1</v>
      </c>
      <c r="Z6" s="11">
        <f>V6*Y6</f>
        <v>4</v>
      </c>
      <c r="AA6" s="6"/>
      <c r="AB6" s="298" t="str">
        <f>$F$2</f>
        <v>CIRQUE</v>
      </c>
      <c r="AC6" s="299" t="str">
        <f>$H$2</f>
        <v>All</v>
      </c>
      <c r="AD6" s="1"/>
      <c r="AE6" s="1"/>
      <c r="AF6" s="1"/>
      <c r="AG6" s="1"/>
      <c r="AJ6" s="1"/>
      <c r="AV6" s="4"/>
      <c r="AW6" s="4"/>
      <c r="AX6" s="4"/>
      <c r="AY6" s="4"/>
      <c r="AZ6" s="4"/>
      <c r="BA6" s="4"/>
      <c r="BB6" s="4"/>
      <c r="BC6" s="4"/>
      <c r="BD6" s="4"/>
    </row>
    <row r="7" spans="1:56" ht="15.95" customHeight="1">
      <c r="A7" s="332" t="str">
        <f>Info[[#This Row],[Company]] &amp; "-" &amp; Info[[#This Row],[Department]] &amp; "-" &amp; $I$2 &amp; "-" &amp; TEXT(COUNTIF(INDEX(Info[Department],1):Info[[#This Row],[Department]],Info[[#This Row],[Department]]),"0000")</f>
        <v>CIRQUE-All-Info-0002</v>
      </c>
      <c r="B7" s="333"/>
      <c r="C7" s="334" t="s">
        <v>798</v>
      </c>
      <c r="D7" s="7" t="s">
        <v>887</v>
      </c>
      <c r="E7" s="7"/>
      <c r="F7" s="7"/>
      <c r="G7" s="7"/>
      <c r="H7" s="295" t="s">
        <v>890</v>
      </c>
      <c r="I7" s="295" t="s">
        <v>892</v>
      </c>
      <c r="J7" s="335" t="s">
        <v>899</v>
      </c>
      <c r="K7" s="8"/>
      <c r="L7" s="6" t="s">
        <v>904</v>
      </c>
      <c r="M7" s="336"/>
      <c r="N7" s="8" t="s">
        <v>906</v>
      </c>
      <c r="O7" s="9" t="s">
        <v>908</v>
      </c>
      <c r="P7" s="329" t="s">
        <v>913</v>
      </c>
      <c r="Q7" s="8"/>
      <c r="R7" s="6" t="s">
        <v>915</v>
      </c>
      <c r="S7" s="7">
        <v>1</v>
      </c>
      <c r="T7" s="7">
        <v>1</v>
      </c>
      <c r="U7" s="7">
        <v>1</v>
      </c>
      <c r="V7" s="10">
        <f t="shared" ref="V7:V38" si="0">MAX(S7:U96)</f>
        <v>3</v>
      </c>
      <c r="W7" s="7">
        <v>2</v>
      </c>
      <c r="X7" s="7">
        <v>3</v>
      </c>
      <c r="Y7" s="10">
        <f t="shared" ref="Y7:Y38" si="1">MAXA(W7-X7,1)</f>
        <v>1</v>
      </c>
      <c r="Z7" s="11">
        <f t="shared" ref="Z7:Z38" si="2">V7*Y7</f>
        <v>3</v>
      </c>
      <c r="AA7" s="6"/>
      <c r="AB7" s="298" t="str">
        <f t="shared" ref="AB7:AB38" si="3">$F$2</f>
        <v>CIRQUE</v>
      </c>
      <c r="AC7" s="337" t="str">
        <f t="shared" ref="AC7:AC38" si="4">$H$2</f>
        <v>All</v>
      </c>
    </row>
    <row r="8" spans="1:56" ht="15.95" customHeight="1">
      <c r="A8" s="332" t="str">
        <f>Info[[#This Row],[Company]] &amp; "-" &amp; Info[[#This Row],[Department]] &amp; "-" &amp; $I$2 &amp; "-" &amp; TEXT(COUNTIF(INDEX(Info[Department],1):Info[[#This Row],[Department]],Info[[#This Row],[Department]]),"0000")</f>
        <v>CIRQUE-All-Info-0003</v>
      </c>
      <c r="B8" s="333"/>
      <c r="C8" s="334" t="s">
        <v>799</v>
      </c>
      <c r="D8" s="7" t="s">
        <v>887</v>
      </c>
      <c r="E8" s="7"/>
      <c r="F8" s="7"/>
      <c r="G8" s="7"/>
      <c r="H8" s="295" t="s">
        <v>891</v>
      </c>
      <c r="I8" s="295" t="s">
        <v>893</v>
      </c>
      <c r="J8" s="335" t="s">
        <v>900</v>
      </c>
      <c r="K8" s="8"/>
      <c r="L8" s="6" t="s">
        <v>905</v>
      </c>
      <c r="M8" s="336"/>
      <c r="N8" s="8" t="s">
        <v>906</v>
      </c>
      <c r="O8" s="9" t="s">
        <v>908</v>
      </c>
      <c r="P8" s="329" t="s">
        <v>890</v>
      </c>
      <c r="Q8" s="8"/>
      <c r="R8" s="6" t="s">
        <v>916</v>
      </c>
      <c r="S8" s="7">
        <v>3</v>
      </c>
      <c r="T8" s="7">
        <v>1</v>
      </c>
      <c r="U8" s="7">
        <v>1</v>
      </c>
      <c r="V8" s="10">
        <f t="shared" si="0"/>
        <v>3</v>
      </c>
      <c r="W8" s="7">
        <v>2</v>
      </c>
      <c r="X8" s="7">
        <v>3</v>
      </c>
      <c r="Y8" s="10">
        <f t="shared" si="1"/>
        <v>1</v>
      </c>
      <c r="Z8" s="11">
        <f t="shared" si="2"/>
        <v>3</v>
      </c>
      <c r="AA8" s="6"/>
      <c r="AB8" s="298" t="str">
        <f t="shared" si="3"/>
        <v>CIRQUE</v>
      </c>
      <c r="AC8" s="337" t="str">
        <f t="shared" si="4"/>
        <v>All</v>
      </c>
    </row>
    <row r="9" spans="1:56" ht="15.95" customHeight="1">
      <c r="A9" s="332" t="str">
        <f>Info[[#This Row],[Company]] &amp; "-" &amp; Info[[#This Row],[Department]] &amp; "-" &amp; $I$2 &amp; "-" &amp; TEXT(COUNTIF(INDEX(Info[Department],1):Info[[#This Row],[Department]],Info[[#This Row],[Department]]),"0000")</f>
        <v>CIRQUE-All-Info-0004</v>
      </c>
      <c r="B9" s="333"/>
      <c r="C9" s="334" t="s">
        <v>800</v>
      </c>
      <c r="D9" s="7" t="s">
        <v>887</v>
      </c>
      <c r="E9" s="7"/>
      <c r="F9" s="7"/>
      <c r="G9" s="7"/>
      <c r="H9" s="295" t="s">
        <v>891</v>
      </c>
      <c r="I9" s="295" t="s">
        <v>894</v>
      </c>
      <c r="J9" s="335" t="s">
        <v>901</v>
      </c>
      <c r="K9" s="8"/>
      <c r="L9" s="6" t="s">
        <v>905</v>
      </c>
      <c r="M9" s="336"/>
      <c r="N9" s="8" t="s">
        <v>906</v>
      </c>
      <c r="O9" s="9" t="s">
        <v>908</v>
      </c>
      <c r="P9" s="329" t="s">
        <v>890</v>
      </c>
      <c r="Q9" s="8"/>
      <c r="R9" s="6" t="s">
        <v>917</v>
      </c>
      <c r="S9" s="7">
        <v>2</v>
      </c>
      <c r="T9" s="7">
        <v>1</v>
      </c>
      <c r="U9" s="7">
        <v>1</v>
      </c>
      <c r="V9" s="10">
        <f t="shared" si="0"/>
        <v>3</v>
      </c>
      <c r="W9" s="7">
        <v>2</v>
      </c>
      <c r="X9" s="7">
        <v>3</v>
      </c>
      <c r="Y9" s="10">
        <f t="shared" si="1"/>
        <v>1</v>
      </c>
      <c r="Z9" s="11">
        <f t="shared" si="2"/>
        <v>3</v>
      </c>
      <c r="AA9" s="6"/>
      <c r="AB9" s="298" t="str">
        <f t="shared" si="3"/>
        <v>CIRQUE</v>
      </c>
      <c r="AC9" s="337" t="str">
        <f t="shared" si="4"/>
        <v>All</v>
      </c>
    </row>
    <row r="10" spans="1:56" ht="15.95" customHeight="1">
      <c r="A10" s="332" t="str">
        <f>Info[[#This Row],[Company]] &amp; "-" &amp; Info[[#This Row],[Department]] &amp; "-" &amp; $I$2 &amp; "-" &amp; TEXT(COUNTIF(INDEX(Info[Department],1):Info[[#This Row],[Department]],Info[[#This Row],[Department]]),"0000")</f>
        <v>CIRQUE-All-Info-0005</v>
      </c>
      <c r="B10" s="333"/>
      <c r="C10" s="334" t="s">
        <v>801</v>
      </c>
      <c r="D10" s="7" t="s">
        <v>887</v>
      </c>
      <c r="E10" s="7"/>
      <c r="F10" s="7"/>
      <c r="G10" s="7"/>
      <c r="H10" s="295" t="s">
        <v>891</v>
      </c>
      <c r="I10" s="295" t="s">
        <v>893</v>
      </c>
      <c r="J10" s="335" t="s">
        <v>900</v>
      </c>
      <c r="K10" s="8"/>
      <c r="L10" s="6" t="s">
        <v>905</v>
      </c>
      <c r="M10" s="336"/>
      <c r="N10" s="8" t="s">
        <v>906</v>
      </c>
      <c r="O10" s="9" t="s">
        <v>908</v>
      </c>
      <c r="P10" s="329" t="s">
        <v>890</v>
      </c>
      <c r="Q10" s="8"/>
      <c r="R10" s="6" t="s">
        <v>918</v>
      </c>
      <c r="S10" s="7">
        <v>3</v>
      </c>
      <c r="T10" s="7">
        <v>1</v>
      </c>
      <c r="U10" s="7">
        <v>1</v>
      </c>
      <c r="V10" s="10">
        <f t="shared" si="0"/>
        <v>3</v>
      </c>
      <c r="W10" s="7">
        <v>2</v>
      </c>
      <c r="X10" s="7">
        <v>3</v>
      </c>
      <c r="Y10" s="10">
        <f t="shared" si="1"/>
        <v>1</v>
      </c>
      <c r="Z10" s="11">
        <f t="shared" si="2"/>
        <v>3</v>
      </c>
      <c r="AA10" s="6"/>
      <c r="AB10" s="298" t="str">
        <f t="shared" si="3"/>
        <v>CIRQUE</v>
      </c>
      <c r="AC10" s="337" t="str">
        <f t="shared" si="4"/>
        <v>All</v>
      </c>
    </row>
    <row r="11" spans="1:56" ht="15.95" customHeight="1">
      <c r="A11" s="332" t="str">
        <f>Info[[#This Row],[Company]] &amp; "-" &amp; Info[[#This Row],[Department]] &amp; "-" &amp; $I$2 &amp; "-" &amp; TEXT(COUNTIF(INDEX(Info[Department],1):Info[[#This Row],[Department]],Info[[#This Row],[Department]]),"0000")</f>
        <v>CIRQUE-All-Info-0006</v>
      </c>
      <c r="B11" s="333"/>
      <c r="C11" s="334" t="s">
        <v>802</v>
      </c>
      <c r="D11" s="7" t="s">
        <v>887</v>
      </c>
      <c r="E11" s="7"/>
      <c r="F11" s="7"/>
      <c r="G11" s="7"/>
      <c r="H11" s="295" t="s">
        <v>891</v>
      </c>
      <c r="I11" s="295" t="s">
        <v>894</v>
      </c>
      <c r="J11" s="335" t="s">
        <v>901</v>
      </c>
      <c r="K11" s="8"/>
      <c r="L11" s="6" t="s">
        <v>905</v>
      </c>
      <c r="M11" s="336"/>
      <c r="N11" s="8" t="s">
        <v>906</v>
      </c>
      <c r="O11" s="9" t="s">
        <v>908</v>
      </c>
      <c r="P11" s="329" t="s">
        <v>890</v>
      </c>
      <c r="Q11" s="8"/>
      <c r="R11" s="6" t="s">
        <v>919</v>
      </c>
      <c r="S11" s="7">
        <v>2</v>
      </c>
      <c r="T11" s="7">
        <v>1</v>
      </c>
      <c r="U11" s="7">
        <v>1</v>
      </c>
      <c r="V11" s="10">
        <f t="shared" si="0"/>
        <v>2</v>
      </c>
      <c r="W11" s="7">
        <v>2</v>
      </c>
      <c r="X11" s="7">
        <v>3</v>
      </c>
      <c r="Y11" s="10">
        <f t="shared" si="1"/>
        <v>1</v>
      </c>
      <c r="Z11" s="11">
        <f t="shared" si="2"/>
        <v>2</v>
      </c>
      <c r="AA11" s="6"/>
      <c r="AB11" s="298" t="str">
        <f t="shared" si="3"/>
        <v>CIRQUE</v>
      </c>
      <c r="AC11" s="337" t="str">
        <f t="shared" si="4"/>
        <v>All</v>
      </c>
    </row>
    <row r="12" spans="1:56" ht="15.95" customHeight="1">
      <c r="A12" s="332" t="str">
        <f>Info[[#This Row],[Company]] &amp; "-" &amp; Info[[#This Row],[Department]] &amp; "-" &amp; $I$2 &amp; "-" &amp; TEXT(COUNTIF(INDEX(Info[Department],1):Info[[#This Row],[Department]],Info[[#This Row],[Department]]),"0000")</f>
        <v>CIRQUE-All-Info-0007</v>
      </c>
      <c r="B12" s="333"/>
      <c r="C12" s="334" t="s">
        <v>803</v>
      </c>
      <c r="D12" s="7" t="s">
        <v>887</v>
      </c>
      <c r="E12" s="7"/>
      <c r="F12" s="7"/>
      <c r="G12" s="7"/>
      <c r="H12" s="295" t="s">
        <v>891</v>
      </c>
      <c r="I12" s="295" t="s">
        <v>893</v>
      </c>
      <c r="J12" s="335" t="s">
        <v>900</v>
      </c>
      <c r="K12" s="8"/>
      <c r="L12" s="6" t="s">
        <v>905</v>
      </c>
      <c r="M12" s="336"/>
      <c r="N12" s="8" t="s">
        <v>906</v>
      </c>
      <c r="O12" s="9" t="s">
        <v>908</v>
      </c>
      <c r="P12" s="329" t="s">
        <v>890</v>
      </c>
      <c r="Q12" s="8"/>
      <c r="R12" s="6" t="s">
        <v>920</v>
      </c>
      <c r="S12" s="7">
        <v>2</v>
      </c>
      <c r="T12" s="7">
        <v>1</v>
      </c>
      <c r="U12" s="7">
        <v>1</v>
      </c>
      <c r="V12" s="10">
        <f t="shared" si="0"/>
        <v>2</v>
      </c>
      <c r="W12" s="7">
        <v>2</v>
      </c>
      <c r="X12" s="7">
        <v>3</v>
      </c>
      <c r="Y12" s="10">
        <f t="shared" si="1"/>
        <v>1</v>
      </c>
      <c r="Z12" s="11">
        <f t="shared" si="2"/>
        <v>2</v>
      </c>
      <c r="AA12" s="6"/>
      <c r="AB12" s="298" t="str">
        <f t="shared" si="3"/>
        <v>CIRQUE</v>
      </c>
      <c r="AC12" s="337" t="str">
        <f t="shared" si="4"/>
        <v>All</v>
      </c>
    </row>
    <row r="13" spans="1:56" ht="15.95" customHeight="1">
      <c r="A13" s="332" t="str">
        <f>Info[[#This Row],[Company]] &amp; "-" &amp; Info[[#This Row],[Department]] &amp; "-" &amp; $I$2 &amp; "-" &amp; TEXT(COUNTIF(INDEX(Info[Department],1):Info[[#This Row],[Department]],Info[[#This Row],[Department]]),"0000")</f>
        <v>CIRQUE-All-Info-0008</v>
      </c>
      <c r="B13" s="333"/>
      <c r="C13" s="334" t="s">
        <v>804</v>
      </c>
      <c r="D13" s="7" t="s">
        <v>887</v>
      </c>
      <c r="E13" s="7"/>
      <c r="F13" s="7"/>
      <c r="G13" s="7"/>
      <c r="H13" s="295" t="s">
        <v>891</v>
      </c>
      <c r="I13" s="295" t="s">
        <v>894</v>
      </c>
      <c r="J13" s="335" t="s">
        <v>901</v>
      </c>
      <c r="K13" s="8"/>
      <c r="L13" s="6" t="s">
        <v>905</v>
      </c>
      <c r="M13" s="336"/>
      <c r="N13" s="8" t="s">
        <v>906</v>
      </c>
      <c r="O13" s="9" t="s">
        <v>908</v>
      </c>
      <c r="P13" s="329" t="s">
        <v>890</v>
      </c>
      <c r="Q13" s="8"/>
      <c r="R13" s="6" t="s">
        <v>920</v>
      </c>
      <c r="S13" s="7">
        <v>2</v>
      </c>
      <c r="T13" s="7">
        <v>1</v>
      </c>
      <c r="U13" s="7">
        <v>1</v>
      </c>
      <c r="V13" s="10">
        <f t="shared" si="0"/>
        <v>2</v>
      </c>
      <c r="W13" s="7">
        <v>2</v>
      </c>
      <c r="X13" s="7">
        <v>3</v>
      </c>
      <c r="Y13" s="10">
        <f t="shared" si="1"/>
        <v>1</v>
      </c>
      <c r="Z13" s="11">
        <f t="shared" si="2"/>
        <v>2</v>
      </c>
      <c r="AA13" s="6"/>
      <c r="AB13" s="298" t="str">
        <f t="shared" si="3"/>
        <v>CIRQUE</v>
      </c>
      <c r="AC13" s="337" t="str">
        <f t="shared" si="4"/>
        <v>All</v>
      </c>
    </row>
    <row r="14" spans="1:56" ht="15.95" customHeight="1">
      <c r="A14" s="332" t="str">
        <f>Info[[#This Row],[Company]] &amp; "-" &amp; Info[[#This Row],[Department]] &amp; "-" &amp; $I$2 &amp; "-" &amp; TEXT(COUNTIF(INDEX(Info[Department],1):Info[[#This Row],[Department]],Info[[#This Row],[Department]]),"0000")</f>
        <v>CIRQUE-All-Info-0009</v>
      </c>
      <c r="B14" s="333"/>
      <c r="C14" s="334" t="s">
        <v>805</v>
      </c>
      <c r="D14" s="7" t="s">
        <v>887</v>
      </c>
      <c r="E14" s="7"/>
      <c r="F14" s="7"/>
      <c r="G14" s="7"/>
      <c r="H14" s="295" t="s">
        <v>891</v>
      </c>
      <c r="I14" s="295" t="s">
        <v>893</v>
      </c>
      <c r="J14" s="335" t="s">
        <v>900</v>
      </c>
      <c r="K14" s="8"/>
      <c r="L14" s="6" t="s">
        <v>905</v>
      </c>
      <c r="M14" s="336"/>
      <c r="N14" s="8" t="s">
        <v>906</v>
      </c>
      <c r="O14" s="9" t="s">
        <v>908</v>
      </c>
      <c r="P14" s="329" t="s">
        <v>890</v>
      </c>
      <c r="Q14" s="8"/>
      <c r="R14" s="6" t="s">
        <v>920</v>
      </c>
      <c r="S14" s="7">
        <v>2</v>
      </c>
      <c r="T14" s="7">
        <v>1</v>
      </c>
      <c r="U14" s="7">
        <v>1</v>
      </c>
      <c r="V14" s="10">
        <f t="shared" si="0"/>
        <v>2</v>
      </c>
      <c r="W14" s="7">
        <v>2</v>
      </c>
      <c r="X14" s="7">
        <v>3</v>
      </c>
      <c r="Y14" s="10">
        <f t="shared" si="1"/>
        <v>1</v>
      </c>
      <c r="Z14" s="11">
        <f t="shared" si="2"/>
        <v>2</v>
      </c>
      <c r="AA14" s="6"/>
      <c r="AB14" s="298" t="str">
        <f t="shared" si="3"/>
        <v>CIRQUE</v>
      </c>
      <c r="AC14" s="337" t="str">
        <f t="shared" si="4"/>
        <v>All</v>
      </c>
    </row>
    <row r="15" spans="1:56" ht="15.95" customHeight="1">
      <c r="A15" s="332" t="str">
        <f>Info[[#This Row],[Company]] &amp; "-" &amp; Info[[#This Row],[Department]] &amp; "-" &amp; $I$2 &amp; "-" &amp; TEXT(COUNTIF(INDEX(Info[Department],1):Info[[#This Row],[Department]],Info[[#This Row],[Department]]),"0000")</f>
        <v>CIRQUE-All-Info-0010</v>
      </c>
      <c r="B15" s="333"/>
      <c r="C15" s="334" t="s">
        <v>806</v>
      </c>
      <c r="D15" s="7" t="s">
        <v>887</v>
      </c>
      <c r="E15" s="7"/>
      <c r="F15" s="7"/>
      <c r="G15" s="7"/>
      <c r="H15" s="295" t="s">
        <v>891</v>
      </c>
      <c r="I15" s="295" t="s">
        <v>893</v>
      </c>
      <c r="J15" s="335" t="s">
        <v>900</v>
      </c>
      <c r="K15" s="8"/>
      <c r="L15" s="6" t="s">
        <v>905</v>
      </c>
      <c r="M15" s="336"/>
      <c r="N15" s="8" t="s">
        <v>906</v>
      </c>
      <c r="O15" s="9" t="s">
        <v>908</v>
      </c>
      <c r="P15" s="329" t="s">
        <v>890</v>
      </c>
      <c r="Q15" s="8"/>
      <c r="R15" s="6" t="s">
        <v>920</v>
      </c>
      <c r="S15" s="7">
        <v>2</v>
      </c>
      <c r="T15" s="7">
        <v>1</v>
      </c>
      <c r="U15" s="7">
        <v>1</v>
      </c>
      <c r="V15" s="10">
        <f t="shared" si="0"/>
        <v>2</v>
      </c>
      <c r="W15" s="7">
        <v>2</v>
      </c>
      <c r="X15" s="7">
        <v>3</v>
      </c>
      <c r="Y15" s="10">
        <f t="shared" si="1"/>
        <v>1</v>
      </c>
      <c r="Z15" s="11">
        <f t="shared" si="2"/>
        <v>2</v>
      </c>
      <c r="AA15" s="6"/>
      <c r="AB15" s="298" t="str">
        <f t="shared" si="3"/>
        <v>CIRQUE</v>
      </c>
      <c r="AC15" s="337" t="str">
        <f t="shared" si="4"/>
        <v>All</v>
      </c>
    </row>
    <row r="16" spans="1:56" ht="15.95" customHeight="1">
      <c r="A16" s="332" t="str">
        <f>Info[[#This Row],[Company]] &amp; "-" &amp; Info[[#This Row],[Department]] &amp; "-" &amp; $I$2 &amp; "-" &amp; TEXT(COUNTIF(INDEX(Info[Department],1):Info[[#This Row],[Department]],Info[[#This Row],[Department]]),"0000")</f>
        <v>CIRQUE-All-Info-0011</v>
      </c>
      <c r="B16" s="333"/>
      <c r="C16" s="334" t="s">
        <v>807</v>
      </c>
      <c r="D16" s="7" t="s">
        <v>887</v>
      </c>
      <c r="E16" s="7"/>
      <c r="F16" s="7"/>
      <c r="G16" s="7"/>
      <c r="H16" s="295" t="s">
        <v>891</v>
      </c>
      <c r="I16" s="295" t="s">
        <v>893</v>
      </c>
      <c r="J16" s="335" t="s">
        <v>900</v>
      </c>
      <c r="K16" s="8"/>
      <c r="L16" s="6" t="s">
        <v>905</v>
      </c>
      <c r="M16" s="336"/>
      <c r="N16" s="8" t="s">
        <v>906</v>
      </c>
      <c r="O16" s="9" t="s">
        <v>908</v>
      </c>
      <c r="P16" s="329" t="s">
        <v>890</v>
      </c>
      <c r="Q16" s="8"/>
      <c r="R16" s="6" t="s">
        <v>920</v>
      </c>
      <c r="S16" s="7">
        <v>2</v>
      </c>
      <c r="T16" s="7">
        <v>1</v>
      </c>
      <c r="U16" s="7">
        <v>1</v>
      </c>
      <c r="V16" s="10">
        <f t="shared" si="0"/>
        <v>2</v>
      </c>
      <c r="W16" s="7">
        <v>2</v>
      </c>
      <c r="X16" s="7">
        <v>3</v>
      </c>
      <c r="Y16" s="10">
        <f t="shared" si="1"/>
        <v>1</v>
      </c>
      <c r="Z16" s="11">
        <f t="shared" si="2"/>
        <v>2</v>
      </c>
      <c r="AA16" s="6"/>
      <c r="AB16" s="298" t="str">
        <f t="shared" si="3"/>
        <v>CIRQUE</v>
      </c>
      <c r="AC16" s="337" t="str">
        <f t="shared" si="4"/>
        <v>All</v>
      </c>
    </row>
    <row r="17" spans="1:29" ht="15.95" customHeight="1">
      <c r="A17" s="332" t="str">
        <f>Info[[#This Row],[Company]] &amp; "-" &amp; Info[[#This Row],[Department]] &amp; "-" &amp; $I$2 &amp; "-" &amp; TEXT(COUNTIF(INDEX(Info[Department],1):Info[[#This Row],[Department]],Info[[#This Row],[Department]]),"0000")</f>
        <v>CIRQUE-All-Info-0012</v>
      </c>
      <c r="B17" s="333"/>
      <c r="C17" s="334" t="s">
        <v>808</v>
      </c>
      <c r="D17" s="7" t="s">
        <v>887</v>
      </c>
      <c r="E17" s="7"/>
      <c r="F17" s="7"/>
      <c r="G17" s="7"/>
      <c r="H17" s="295" t="s">
        <v>891</v>
      </c>
      <c r="I17" s="295" t="s">
        <v>893</v>
      </c>
      <c r="J17" s="335" t="s">
        <v>900</v>
      </c>
      <c r="K17" s="8"/>
      <c r="L17" s="6" t="s">
        <v>905</v>
      </c>
      <c r="M17" s="336"/>
      <c r="N17" s="8" t="s">
        <v>906</v>
      </c>
      <c r="O17" s="9" t="s">
        <v>908</v>
      </c>
      <c r="P17" s="329" t="s">
        <v>890</v>
      </c>
      <c r="Q17" s="8"/>
      <c r="R17" s="6" t="s">
        <v>920</v>
      </c>
      <c r="S17" s="7">
        <v>2</v>
      </c>
      <c r="T17" s="7">
        <v>1</v>
      </c>
      <c r="U17" s="7">
        <v>1</v>
      </c>
      <c r="V17" s="10">
        <f t="shared" si="0"/>
        <v>2</v>
      </c>
      <c r="W17" s="7">
        <v>2</v>
      </c>
      <c r="X17" s="7">
        <v>3</v>
      </c>
      <c r="Y17" s="10">
        <f t="shared" si="1"/>
        <v>1</v>
      </c>
      <c r="Z17" s="11">
        <f t="shared" si="2"/>
        <v>2</v>
      </c>
      <c r="AA17" s="6"/>
      <c r="AB17" s="298" t="str">
        <f t="shared" si="3"/>
        <v>CIRQUE</v>
      </c>
      <c r="AC17" s="337" t="str">
        <f t="shared" si="4"/>
        <v>All</v>
      </c>
    </row>
    <row r="18" spans="1:29" ht="15.95" customHeight="1">
      <c r="A18" s="332" t="str">
        <f>Info[[#This Row],[Company]] &amp; "-" &amp; Info[[#This Row],[Department]] &amp; "-" &amp; $I$2 &amp; "-" &amp; TEXT(COUNTIF(INDEX(Info[Department],1):Info[[#This Row],[Department]],Info[[#This Row],[Department]]),"0000")</f>
        <v>CIRQUE-All-Info-0013</v>
      </c>
      <c r="B18" s="333"/>
      <c r="C18" s="334" t="s">
        <v>809</v>
      </c>
      <c r="D18" s="7" t="s">
        <v>887</v>
      </c>
      <c r="E18" s="7"/>
      <c r="F18" s="7"/>
      <c r="G18" s="7"/>
      <c r="H18" s="295" t="s">
        <v>891</v>
      </c>
      <c r="I18" s="295" t="s">
        <v>893</v>
      </c>
      <c r="J18" s="335" t="s">
        <v>900</v>
      </c>
      <c r="K18" s="8"/>
      <c r="L18" s="6" t="s">
        <v>905</v>
      </c>
      <c r="M18" s="336"/>
      <c r="N18" s="8" t="s">
        <v>906</v>
      </c>
      <c r="O18" s="9" t="s">
        <v>908</v>
      </c>
      <c r="P18" s="329" t="s">
        <v>890</v>
      </c>
      <c r="Q18" s="8"/>
      <c r="R18" s="6" t="s">
        <v>920</v>
      </c>
      <c r="S18" s="7">
        <v>2</v>
      </c>
      <c r="T18" s="7">
        <v>1</v>
      </c>
      <c r="U18" s="7">
        <v>1</v>
      </c>
      <c r="V18" s="10">
        <f t="shared" si="0"/>
        <v>2</v>
      </c>
      <c r="W18" s="7">
        <v>2</v>
      </c>
      <c r="X18" s="7">
        <v>3</v>
      </c>
      <c r="Y18" s="10">
        <f t="shared" si="1"/>
        <v>1</v>
      </c>
      <c r="Z18" s="11">
        <f t="shared" si="2"/>
        <v>2</v>
      </c>
      <c r="AA18" s="6"/>
      <c r="AB18" s="298" t="str">
        <f t="shared" si="3"/>
        <v>CIRQUE</v>
      </c>
      <c r="AC18" s="337" t="str">
        <f t="shared" si="4"/>
        <v>All</v>
      </c>
    </row>
    <row r="19" spans="1:29" ht="15.95" customHeight="1">
      <c r="A19" s="332" t="str">
        <f>Info[[#This Row],[Company]] &amp; "-" &amp; Info[[#This Row],[Department]] &amp; "-" &amp; $I$2 &amp; "-" &amp; TEXT(COUNTIF(INDEX(Info[Department],1):Info[[#This Row],[Department]],Info[[#This Row],[Department]]),"0000")</f>
        <v>CIRQUE-All-Info-0014</v>
      </c>
      <c r="B19" s="333"/>
      <c r="C19" s="334" t="s">
        <v>810</v>
      </c>
      <c r="D19" s="7" t="s">
        <v>887</v>
      </c>
      <c r="E19" s="7"/>
      <c r="F19" s="7"/>
      <c r="G19" s="7"/>
      <c r="H19" s="295" t="s">
        <v>891</v>
      </c>
      <c r="I19" s="295" t="s">
        <v>893</v>
      </c>
      <c r="J19" s="335" t="s">
        <v>900</v>
      </c>
      <c r="K19" s="8"/>
      <c r="L19" s="6" t="s">
        <v>905</v>
      </c>
      <c r="M19" s="336"/>
      <c r="N19" s="8" t="s">
        <v>906</v>
      </c>
      <c r="O19" s="9" t="s">
        <v>908</v>
      </c>
      <c r="P19" s="329" t="s">
        <v>890</v>
      </c>
      <c r="Q19" s="8"/>
      <c r="R19" s="6" t="s">
        <v>920</v>
      </c>
      <c r="S19" s="7">
        <v>2</v>
      </c>
      <c r="T19" s="7">
        <v>1</v>
      </c>
      <c r="U19" s="7">
        <v>1</v>
      </c>
      <c r="V19" s="10">
        <f t="shared" si="0"/>
        <v>2</v>
      </c>
      <c r="W19" s="7">
        <v>2</v>
      </c>
      <c r="X19" s="7">
        <v>3</v>
      </c>
      <c r="Y19" s="10">
        <f t="shared" si="1"/>
        <v>1</v>
      </c>
      <c r="Z19" s="11">
        <f t="shared" si="2"/>
        <v>2</v>
      </c>
      <c r="AA19" s="6"/>
      <c r="AB19" s="298" t="str">
        <f t="shared" si="3"/>
        <v>CIRQUE</v>
      </c>
      <c r="AC19" s="337" t="str">
        <f t="shared" si="4"/>
        <v>All</v>
      </c>
    </row>
    <row r="20" spans="1:29" ht="15.95" customHeight="1">
      <c r="A20" s="332" t="str">
        <f>Info[[#This Row],[Company]] &amp; "-" &amp; Info[[#This Row],[Department]] &amp; "-" &amp; $I$2 &amp; "-" &amp; TEXT(COUNTIF(INDEX(Info[Department],1):Info[[#This Row],[Department]],Info[[#This Row],[Department]]),"0000")</f>
        <v>CIRQUE-All-Info-0015</v>
      </c>
      <c r="B20" s="333"/>
      <c r="C20" s="334" t="s">
        <v>811</v>
      </c>
      <c r="D20" s="7" t="s">
        <v>887</v>
      </c>
      <c r="E20" s="7"/>
      <c r="F20" s="7"/>
      <c r="G20" s="7"/>
      <c r="H20" s="295" t="s">
        <v>891</v>
      </c>
      <c r="I20" s="295" t="s">
        <v>893</v>
      </c>
      <c r="J20" s="335" t="s">
        <v>900</v>
      </c>
      <c r="K20" s="8"/>
      <c r="L20" s="6" t="s">
        <v>905</v>
      </c>
      <c r="M20" s="336"/>
      <c r="N20" s="8" t="s">
        <v>906</v>
      </c>
      <c r="O20" s="9" t="s">
        <v>908</v>
      </c>
      <c r="P20" s="329" t="s">
        <v>890</v>
      </c>
      <c r="Q20" s="8"/>
      <c r="R20" s="6" t="s">
        <v>920</v>
      </c>
      <c r="S20" s="7">
        <v>2</v>
      </c>
      <c r="T20" s="7">
        <v>1</v>
      </c>
      <c r="U20" s="7">
        <v>1</v>
      </c>
      <c r="V20" s="10">
        <f t="shared" si="0"/>
        <v>2</v>
      </c>
      <c r="W20" s="7">
        <v>2</v>
      </c>
      <c r="X20" s="7">
        <v>3</v>
      </c>
      <c r="Y20" s="10">
        <f t="shared" si="1"/>
        <v>1</v>
      </c>
      <c r="Z20" s="11">
        <f t="shared" si="2"/>
        <v>2</v>
      </c>
      <c r="AA20" s="6"/>
      <c r="AB20" s="298" t="str">
        <f t="shared" si="3"/>
        <v>CIRQUE</v>
      </c>
      <c r="AC20" s="337" t="str">
        <f t="shared" si="4"/>
        <v>All</v>
      </c>
    </row>
    <row r="21" spans="1:29" ht="15.95" customHeight="1">
      <c r="A21" s="332" t="str">
        <f>Info[[#This Row],[Company]] &amp; "-" &amp; Info[[#This Row],[Department]] &amp; "-" &amp; $I$2 &amp; "-" &amp; TEXT(COUNTIF(INDEX(Info[Department],1):Info[[#This Row],[Department]],Info[[#This Row],[Department]]),"0000")</f>
        <v>CIRQUE-All-Info-0016</v>
      </c>
      <c r="B21" s="333"/>
      <c r="C21" s="334" t="s">
        <v>812</v>
      </c>
      <c r="D21" s="7" t="s">
        <v>887</v>
      </c>
      <c r="E21" s="7"/>
      <c r="F21" s="7"/>
      <c r="G21" s="7"/>
      <c r="H21" s="295" t="s">
        <v>891</v>
      </c>
      <c r="I21" s="295" t="s">
        <v>893</v>
      </c>
      <c r="J21" s="335" t="s">
        <v>900</v>
      </c>
      <c r="K21" s="8"/>
      <c r="L21" s="6" t="s">
        <v>905</v>
      </c>
      <c r="M21" s="336"/>
      <c r="N21" s="8" t="s">
        <v>906</v>
      </c>
      <c r="O21" s="9" t="s">
        <v>908</v>
      </c>
      <c r="P21" s="329" t="s">
        <v>890</v>
      </c>
      <c r="Q21" s="8"/>
      <c r="R21" s="6" t="s">
        <v>920</v>
      </c>
      <c r="S21" s="7">
        <v>2</v>
      </c>
      <c r="T21" s="7">
        <v>1</v>
      </c>
      <c r="U21" s="7">
        <v>1</v>
      </c>
      <c r="V21" s="10">
        <f t="shared" si="0"/>
        <v>2</v>
      </c>
      <c r="W21" s="7">
        <v>2</v>
      </c>
      <c r="X21" s="7">
        <v>3</v>
      </c>
      <c r="Y21" s="10">
        <f t="shared" si="1"/>
        <v>1</v>
      </c>
      <c r="Z21" s="11">
        <f t="shared" si="2"/>
        <v>2</v>
      </c>
      <c r="AA21" s="6"/>
      <c r="AB21" s="298" t="str">
        <f t="shared" si="3"/>
        <v>CIRQUE</v>
      </c>
      <c r="AC21" s="337" t="str">
        <f t="shared" si="4"/>
        <v>All</v>
      </c>
    </row>
    <row r="22" spans="1:29" ht="15.95" customHeight="1">
      <c r="A22" s="332" t="str">
        <f>Info[[#This Row],[Company]] &amp; "-" &amp; Info[[#This Row],[Department]] &amp; "-" &amp; $I$2 &amp; "-" &amp; TEXT(COUNTIF(INDEX(Info[Department],1):Info[[#This Row],[Department]],Info[[#This Row],[Department]]),"0000")</f>
        <v>CIRQUE-All-Info-0017</v>
      </c>
      <c r="B22" s="333"/>
      <c r="C22" s="334" t="s">
        <v>813</v>
      </c>
      <c r="D22" s="7" t="s">
        <v>887</v>
      </c>
      <c r="E22" s="7"/>
      <c r="F22" s="7"/>
      <c r="G22" s="7"/>
      <c r="H22" s="295" t="s">
        <v>891</v>
      </c>
      <c r="I22" s="295" t="s">
        <v>893</v>
      </c>
      <c r="J22" s="335" t="s">
        <v>900</v>
      </c>
      <c r="K22" s="8"/>
      <c r="L22" s="6" t="s">
        <v>905</v>
      </c>
      <c r="M22" s="336"/>
      <c r="N22" s="8" t="s">
        <v>906</v>
      </c>
      <c r="O22" s="9" t="s">
        <v>908</v>
      </c>
      <c r="P22" s="329" t="s">
        <v>890</v>
      </c>
      <c r="Q22" s="8"/>
      <c r="R22" s="6" t="s">
        <v>920</v>
      </c>
      <c r="S22" s="7">
        <v>2</v>
      </c>
      <c r="T22" s="7">
        <v>1</v>
      </c>
      <c r="U22" s="7">
        <v>1</v>
      </c>
      <c r="V22" s="10">
        <f t="shared" si="0"/>
        <v>2</v>
      </c>
      <c r="W22" s="7">
        <v>2</v>
      </c>
      <c r="X22" s="7">
        <v>3</v>
      </c>
      <c r="Y22" s="10">
        <f t="shared" si="1"/>
        <v>1</v>
      </c>
      <c r="Z22" s="11">
        <f t="shared" si="2"/>
        <v>2</v>
      </c>
      <c r="AA22" s="6"/>
      <c r="AB22" s="298" t="str">
        <f t="shared" si="3"/>
        <v>CIRQUE</v>
      </c>
      <c r="AC22" s="337" t="str">
        <f t="shared" si="4"/>
        <v>All</v>
      </c>
    </row>
    <row r="23" spans="1:29" ht="15.95" customHeight="1">
      <c r="A23" s="332" t="str">
        <f>Info[[#This Row],[Company]] &amp; "-" &amp; Info[[#This Row],[Department]] &amp; "-" &amp; $I$2 &amp; "-" &amp; TEXT(COUNTIF(INDEX(Info[Department],1):Info[[#This Row],[Department]],Info[[#This Row],[Department]]),"0000")</f>
        <v>CIRQUE-All-Info-0018</v>
      </c>
      <c r="B23" s="333"/>
      <c r="C23" s="334" t="s">
        <v>814</v>
      </c>
      <c r="D23" s="7" t="s">
        <v>887</v>
      </c>
      <c r="E23" s="7"/>
      <c r="F23" s="7"/>
      <c r="G23" s="7"/>
      <c r="H23" s="295" t="s">
        <v>891</v>
      </c>
      <c r="I23" s="295" t="s">
        <v>893</v>
      </c>
      <c r="J23" s="335" t="s">
        <v>900</v>
      </c>
      <c r="K23" s="8"/>
      <c r="L23" s="6" t="s">
        <v>905</v>
      </c>
      <c r="M23" s="336"/>
      <c r="N23" s="8" t="s">
        <v>906</v>
      </c>
      <c r="O23" s="9" t="s">
        <v>908</v>
      </c>
      <c r="P23" s="329" t="s">
        <v>890</v>
      </c>
      <c r="Q23" s="8"/>
      <c r="R23" s="6" t="s">
        <v>920</v>
      </c>
      <c r="S23" s="7">
        <v>2</v>
      </c>
      <c r="T23" s="7">
        <v>1</v>
      </c>
      <c r="U23" s="7">
        <v>1</v>
      </c>
      <c r="V23" s="10">
        <f t="shared" si="0"/>
        <v>2</v>
      </c>
      <c r="W23" s="7">
        <v>2</v>
      </c>
      <c r="X23" s="7">
        <v>3</v>
      </c>
      <c r="Y23" s="10">
        <f t="shared" si="1"/>
        <v>1</v>
      </c>
      <c r="Z23" s="11">
        <f t="shared" si="2"/>
        <v>2</v>
      </c>
      <c r="AA23" s="6"/>
      <c r="AB23" s="298" t="str">
        <f t="shared" si="3"/>
        <v>CIRQUE</v>
      </c>
      <c r="AC23" s="337" t="str">
        <f t="shared" si="4"/>
        <v>All</v>
      </c>
    </row>
    <row r="24" spans="1:29" ht="15.95" customHeight="1">
      <c r="A24" s="332" t="str">
        <f>Info[[#This Row],[Company]] &amp; "-" &amp; Info[[#This Row],[Department]] &amp; "-" &amp; $I$2 &amp; "-" &amp; TEXT(COUNTIF(INDEX(Info[Department],1):Info[[#This Row],[Department]],Info[[#This Row],[Department]]),"0000")</f>
        <v>CIRQUE-All-Info-0019</v>
      </c>
      <c r="B24" s="333"/>
      <c r="C24" s="334" t="s">
        <v>815</v>
      </c>
      <c r="D24" s="7" t="s">
        <v>887</v>
      </c>
      <c r="E24" s="7"/>
      <c r="F24" s="7"/>
      <c r="G24" s="7"/>
      <c r="H24" s="295" t="s">
        <v>891</v>
      </c>
      <c r="I24" s="295" t="s">
        <v>893</v>
      </c>
      <c r="J24" s="335" t="s">
        <v>900</v>
      </c>
      <c r="K24" s="8"/>
      <c r="L24" s="6" t="s">
        <v>905</v>
      </c>
      <c r="M24" s="336"/>
      <c r="N24" s="8" t="s">
        <v>906</v>
      </c>
      <c r="O24" s="9" t="s">
        <v>908</v>
      </c>
      <c r="P24" s="329" t="s">
        <v>890</v>
      </c>
      <c r="Q24" s="8"/>
      <c r="R24" s="6" t="s">
        <v>920</v>
      </c>
      <c r="S24" s="7">
        <v>2</v>
      </c>
      <c r="T24" s="7">
        <v>1</v>
      </c>
      <c r="U24" s="7">
        <v>1</v>
      </c>
      <c r="V24" s="10">
        <f t="shared" si="0"/>
        <v>2</v>
      </c>
      <c r="W24" s="7">
        <v>2</v>
      </c>
      <c r="X24" s="7">
        <v>3</v>
      </c>
      <c r="Y24" s="10">
        <f t="shared" si="1"/>
        <v>1</v>
      </c>
      <c r="Z24" s="11">
        <f t="shared" si="2"/>
        <v>2</v>
      </c>
      <c r="AA24" s="6"/>
      <c r="AB24" s="298" t="str">
        <f t="shared" si="3"/>
        <v>CIRQUE</v>
      </c>
      <c r="AC24" s="337" t="str">
        <f t="shared" si="4"/>
        <v>All</v>
      </c>
    </row>
    <row r="25" spans="1:29" ht="15.95" customHeight="1">
      <c r="A25" s="332" t="str">
        <f>Info[[#This Row],[Company]] &amp; "-" &amp; Info[[#This Row],[Department]] &amp; "-" &amp; $I$2 &amp; "-" &amp; TEXT(COUNTIF(INDEX(Info[Department],1):Info[[#This Row],[Department]],Info[[#This Row],[Department]]),"0000")</f>
        <v>CIRQUE-All-Info-0020</v>
      </c>
      <c r="B25" s="333"/>
      <c r="C25" s="334" t="s">
        <v>816</v>
      </c>
      <c r="D25" s="7" t="s">
        <v>887</v>
      </c>
      <c r="E25" s="7"/>
      <c r="F25" s="7"/>
      <c r="G25" s="7"/>
      <c r="H25" s="295" t="s">
        <v>891</v>
      </c>
      <c r="I25" s="295" t="s">
        <v>893</v>
      </c>
      <c r="J25" s="335" t="s">
        <v>900</v>
      </c>
      <c r="K25" s="8"/>
      <c r="L25" s="6" t="s">
        <v>905</v>
      </c>
      <c r="M25" s="336"/>
      <c r="N25" s="8" t="s">
        <v>906</v>
      </c>
      <c r="O25" s="9" t="s">
        <v>908</v>
      </c>
      <c r="P25" s="329" t="s">
        <v>890</v>
      </c>
      <c r="Q25" s="8"/>
      <c r="R25" s="6" t="s">
        <v>920</v>
      </c>
      <c r="S25" s="7">
        <v>2</v>
      </c>
      <c r="T25" s="7">
        <v>1</v>
      </c>
      <c r="U25" s="7">
        <v>1</v>
      </c>
      <c r="V25" s="10">
        <f t="shared" si="0"/>
        <v>2</v>
      </c>
      <c r="W25" s="7">
        <v>2</v>
      </c>
      <c r="X25" s="7">
        <v>3</v>
      </c>
      <c r="Y25" s="10">
        <f t="shared" si="1"/>
        <v>1</v>
      </c>
      <c r="Z25" s="11">
        <f t="shared" si="2"/>
        <v>2</v>
      </c>
      <c r="AA25" s="6"/>
      <c r="AB25" s="298" t="str">
        <f t="shared" si="3"/>
        <v>CIRQUE</v>
      </c>
      <c r="AC25" s="337" t="str">
        <f t="shared" si="4"/>
        <v>All</v>
      </c>
    </row>
    <row r="26" spans="1:29" ht="15.95" customHeight="1">
      <c r="A26" s="332" t="str">
        <f>Info[[#This Row],[Company]] &amp; "-" &amp; Info[[#This Row],[Department]] &amp; "-" &amp; $I$2 &amp; "-" &amp; TEXT(COUNTIF(INDEX(Info[Department],1):Info[[#This Row],[Department]],Info[[#This Row],[Department]]),"0000")</f>
        <v>CIRQUE-All-Info-0021</v>
      </c>
      <c r="B26" s="333"/>
      <c r="C26" s="334" t="s">
        <v>817</v>
      </c>
      <c r="D26" s="7" t="s">
        <v>887</v>
      </c>
      <c r="E26" s="7"/>
      <c r="F26" s="7"/>
      <c r="G26" s="7"/>
      <c r="H26" s="295" t="s">
        <v>891</v>
      </c>
      <c r="I26" s="295" t="s">
        <v>893</v>
      </c>
      <c r="J26" s="335" t="s">
        <v>900</v>
      </c>
      <c r="K26" s="8"/>
      <c r="L26" s="6" t="s">
        <v>905</v>
      </c>
      <c r="M26" s="336"/>
      <c r="N26" s="8" t="s">
        <v>906</v>
      </c>
      <c r="O26" s="9" t="s">
        <v>908</v>
      </c>
      <c r="P26" s="329" t="s">
        <v>890</v>
      </c>
      <c r="Q26" s="8"/>
      <c r="R26" s="6" t="s">
        <v>920</v>
      </c>
      <c r="S26" s="7">
        <v>2</v>
      </c>
      <c r="T26" s="7">
        <v>1</v>
      </c>
      <c r="U26" s="7">
        <v>1</v>
      </c>
      <c r="V26" s="10">
        <f t="shared" si="0"/>
        <v>2</v>
      </c>
      <c r="W26" s="7">
        <v>2</v>
      </c>
      <c r="X26" s="7">
        <v>3</v>
      </c>
      <c r="Y26" s="10">
        <f t="shared" si="1"/>
        <v>1</v>
      </c>
      <c r="Z26" s="11">
        <f t="shared" si="2"/>
        <v>2</v>
      </c>
      <c r="AA26" s="6"/>
      <c r="AB26" s="298" t="str">
        <f t="shared" si="3"/>
        <v>CIRQUE</v>
      </c>
      <c r="AC26" s="337" t="str">
        <f t="shared" si="4"/>
        <v>All</v>
      </c>
    </row>
    <row r="27" spans="1:29" ht="15.95" customHeight="1">
      <c r="A27" s="332" t="str">
        <f>Info[[#This Row],[Company]] &amp; "-" &amp; Info[[#This Row],[Department]] &amp; "-" &amp; $I$2 &amp; "-" &amp; TEXT(COUNTIF(INDEX(Info[Department],1):Info[[#This Row],[Department]],Info[[#This Row],[Department]]),"0000")</f>
        <v>CIRQUE-All-Info-0022</v>
      </c>
      <c r="B27" s="333"/>
      <c r="C27" s="334" t="s">
        <v>818</v>
      </c>
      <c r="D27" s="7" t="s">
        <v>887</v>
      </c>
      <c r="E27" s="7"/>
      <c r="F27" s="7"/>
      <c r="G27" s="7"/>
      <c r="H27" s="295" t="s">
        <v>891</v>
      </c>
      <c r="I27" s="295" t="s">
        <v>893</v>
      </c>
      <c r="J27" s="335" t="s">
        <v>900</v>
      </c>
      <c r="K27" s="8"/>
      <c r="L27" s="6" t="s">
        <v>905</v>
      </c>
      <c r="M27" s="336"/>
      <c r="N27" s="8" t="s">
        <v>906</v>
      </c>
      <c r="O27" s="9" t="s">
        <v>908</v>
      </c>
      <c r="P27" s="329" t="s">
        <v>890</v>
      </c>
      <c r="Q27" s="8"/>
      <c r="R27" s="6" t="s">
        <v>920</v>
      </c>
      <c r="S27" s="7">
        <v>2</v>
      </c>
      <c r="T27" s="7">
        <v>1</v>
      </c>
      <c r="U27" s="7">
        <v>1</v>
      </c>
      <c r="V27" s="10">
        <f t="shared" si="0"/>
        <v>2</v>
      </c>
      <c r="W27" s="7">
        <v>2</v>
      </c>
      <c r="X27" s="7">
        <v>3</v>
      </c>
      <c r="Y27" s="10">
        <f t="shared" si="1"/>
        <v>1</v>
      </c>
      <c r="Z27" s="11">
        <f t="shared" si="2"/>
        <v>2</v>
      </c>
      <c r="AA27" s="6"/>
      <c r="AB27" s="298" t="str">
        <f t="shared" si="3"/>
        <v>CIRQUE</v>
      </c>
      <c r="AC27" s="337" t="str">
        <f t="shared" si="4"/>
        <v>All</v>
      </c>
    </row>
    <row r="28" spans="1:29" ht="15.95" customHeight="1">
      <c r="A28" s="332" t="str">
        <f>Info[[#This Row],[Company]] &amp; "-" &amp; Info[[#This Row],[Department]] &amp; "-" &amp; $I$2 &amp; "-" &amp; TEXT(COUNTIF(INDEX(Info[Department],1):Info[[#This Row],[Department]],Info[[#This Row],[Department]]),"0000")</f>
        <v>CIRQUE-All-Info-0023</v>
      </c>
      <c r="B28" s="333"/>
      <c r="C28" s="334" t="s">
        <v>819</v>
      </c>
      <c r="D28" s="7" t="s">
        <v>887</v>
      </c>
      <c r="E28" s="7"/>
      <c r="F28" s="7"/>
      <c r="G28" s="7"/>
      <c r="H28" s="295" t="s">
        <v>891</v>
      </c>
      <c r="I28" s="295" t="s">
        <v>893</v>
      </c>
      <c r="J28" s="335" t="s">
        <v>900</v>
      </c>
      <c r="K28" s="8"/>
      <c r="L28" s="6" t="s">
        <v>905</v>
      </c>
      <c r="M28" s="336"/>
      <c r="N28" s="8" t="s">
        <v>906</v>
      </c>
      <c r="O28" s="9" t="s">
        <v>908</v>
      </c>
      <c r="P28" s="329" t="s">
        <v>890</v>
      </c>
      <c r="Q28" s="8"/>
      <c r="R28" s="6" t="s">
        <v>920</v>
      </c>
      <c r="S28" s="7">
        <v>2</v>
      </c>
      <c r="T28" s="7">
        <v>1</v>
      </c>
      <c r="U28" s="7">
        <v>1</v>
      </c>
      <c r="V28" s="10">
        <f t="shared" si="0"/>
        <v>2</v>
      </c>
      <c r="W28" s="7">
        <v>2</v>
      </c>
      <c r="X28" s="7">
        <v>3</v>
      </c>
      <c r="Y28" s="10">
        <f t="shared" si="1"/>
        <v>1</v>
      </c>
      <c r="Z28" s="11">
        <f t="shared" si="2"/>
        <v>2</v>
      </c>
      <c r="AA28" s="6"/>
      <c r="AB28" s="298" t="str">
        <f t="shared" si="3"/>
        <v>CIRQUE</v>
      </c>
      <c r="AC28" s="337" t="str">
        <f t="shared" si="4"/>
        <v>All</v>
      </c>
    </row>
    <row r="29" spans="1:29" ht="15.95" customHeight="1">
      <c r="A29" s="332" t="str">
        <f>Info[[#This Row],[Company]] &amp; "-" &amp; Info[[#This Row],[Department]] &amp; "-" &amp; $I$2 &amp; "-" &amp; TEXT(COUNTIF(INDEX(Info[Department],1):Info[[#This Row],[Department]],Info[[#This Row],[Department]]),"0000")</f>
        <v>CIRQUE-All-Info-0024</v>
      </c>
      <c r="B29" s="333"/>
      <c r="C29" s="334" t="s">
        <v>820</v>
      </c>
      <c r="D29" s="7" t="s">
        <v>887</v>
      </c>
      <c r="E29" s="7"/>
      <c r="F29" s="7"/>
      <c r="G29" s="7"/>
      <c r="H29" s="295" t="s">
        <v>891</v>
      </c>
      <c r="I29" s="295" t="s">
        <v>893</v>
      </c>
      <c r="J29" s="335" t="s">
        <v>900</v>
      </c>
      <c r="K29" s="8"/>
      <c r="L29" s="6" t="s">
        <v>905</v>
      </c>
      <c r="M29" s="336"/>
      <c r="N29" s="8" t="s">
        <v>906</v>
      </c>
      <c r="O29" s="9" t="s">
        <v>908</v>
      </c>
      <c r="P29" s="329" t="s">
        <v>890</v>
      </c>
      <c r="Q29" s="8"/>
      <c r="R29" s="6" t="s">
        <v>920</v>
      </c>
      <c r="S29" s="7">
        <v>2</v>
      </c>
      <c r="T29" s="7">
        <v>1</v>
      </c>
      <c r="U29" s="7">
        <v>1</v>
      </c>
      <c r="V29" s="10">
        <f t="shared" si="0"/>
        <v>2</v>
      </c>
      <c r="W29" s="7">
        <v>2</v>
      </c>
      <c r="X29" s="7">
        <v>3</v>
      </c>
      <c r="Y29" s="10">
        <f t="shared" si="1"/>
        <v>1</v>
      </c>
      <c r="Z29" s="11">
        <f t="shared" si="2"/>
        <v>2</v>
      </c>
      <c r="AA29" s="6"/>
      <c r="AB29" s="298" t="str">
        <f t="shared" si="3"/>
        <v>CIRQUE</v>
      </c>
      <c r="AC29" s="337" t="str">
        <f t="shared" si="4"/>
        <v>All</v>
      </c>
    </row>
    <row r="30" spans="1:29" ht="15.95" customHeight="1">
      <c r="A30" s="332" t="str">
        <f>Info[[#This Row],[Company]] &amp; "-" &amp; Info[[#This Row],[Department]] &amp; "-" &amp; $I$2 &amp; "-" &amp; TEXT(COUNTIF(INDEX(Info[Department],1):Info[[#This Row],[Department]],Info[[#This Row],[Department]]),"0000")</f>
        <v>CIRQUE-All-Info-0025</v>
      </c>
      <c r="B30" s="333"/>
      <c r="C30" s="334" t="s">
        <v>821</v>
      </c>
      <c r="D30" s="7" t="s">
        <v>887</v>
      </c>
      <c r="E30" s="7"/>
      <c r="F30" s="7"/>
      <c r="G30" s="7"/>
      <c r="H30" s="295" t="s">
        <v>891</v>
      </c>
      <c r="I30" s="295" t="s">
        <v>893</v>
      </c>
      <c r="J30" s="335" t="s">
        <v>900</v>
      </c>
      <c r="K30" s="8"/>
      <c r="L30" s="6" t="s">
        <v>905</v>
      </c>
      <c r="M30" s="336"/>
      <c r="N30" s="8" t="s">
        <v>906</v>
      </c>
      <c r="O30" s="9" t="s">
        <v>908</v>
      </c>
      <c r="P30" s="329" t="s">
        <v>890</v>
      </c>
      <c r="Q30" s="8"/>
      <c r="R30" s="6" t="s">
        <v>920</v>
      </c>
      <c r="S30" s="7">
        <v>2</v>
      </c>
      <c r="T30" s="7">
        <v>1</v>
      </c>
      <c r="U30" s="7">
        <v>1</v>
      </c>
      <c r="V30" s="10">
        <f t="shared" si="0"/>
        <v>2</v>
      </c>
      <c r="W30" s="7">
        <v>2</v>
      </c>
      <c r="X30" s="7">
        <v>3</v>
      </c>
      <c r="Y30" s="10">
        <f t="shared" si="1"/>
        <v>1</v>
      </c>
      <c r="Z30" s="11">
        <f t="shared" si="2"/>
        <v>2</v>
      </c>
      <c r="AA30" s="6"/>
      <c r="AB30" s="298" t="str">
        <f t="shared" si="3"/>
        <v>CIRQUE</v>
      </c>
      <c r="AC30" s="337" t="str">
        <f t="shared" si="4"/>
        <v>All</v>
      </c>
    </row>
    <row r="31" spans="1:29" ht="15.95" customHeight="1">
      <c r="A31" s="332" t="str">
        <f>Info[[#This Row],[Company]] &amp; "-" &amp; Info[[#This Row],[Department]] &amp; "-" &amp; $I$2 &amp; "-" &amp; TEXT(COUNTIF(INDEX(Info[Department],1):Info[[#This Row],[Department]],Info[[#This Row],[Department]]),"0000")</f>
        <v>CIRQUE-All-Info-0026</v>
      </c>
      <c r="B31" s="333"/>
      <c r="C31" s="334" t="s">
        <v>822</v>
      </c>
      <c r="D31" s="7" t="s">
        <v>887</v>
      </c>
      <c r="E31" s="7"/>
      <c r="F31" s="7"/>
      <c r="G31" s="7"/>
      <c r="H31" s="295" t="s">
        <v>891</v>
      </c>
      <c r="I31" s="295" t="s">
        <v>893</v>
      </c>
      <c r="J31" s="335" t="s">
        <v>900</v>
      </c>
      <c r="K31" s="8"/>
      <c r="L31" s="6" t="s">
        <v>905</v>
      </c>
      <c r="M31" s="336"/>
      <c r="N31" s="8" t="s">
        <v>906</v>
      </c>
      <c r="O31" s="9" t="s">
        <v>908</v>
      </c>
      <c r="P31" s="329" t="s">
        <v>890</v>
      </c>
      <c r="Q31" s="8"/>
      <c r="R31" s="6" t="s">
        <v>920</v>
      </c>
      <c r="S31" s="7">
        <v>2</v>
      </c>
      <c r="T31" s="7">
        <v>1</v>
      </c>
      <c r="U31" s="7">
        <v>1</v>
      </c>
      <c r="V31" s="10">
        <f t="shared" si="0"/>
        <v>2</v>
      </c>
      <c r="W31" s="7">
        <v>2</v>
      </c>
      <c r="X31" s="7">
        <v>3</v>
      </c>
      <c r="Y31" s="10">
        <f t="shared" si="1"/>
        <v>1</v>
      </c>
      <c r="Z31" s="11">
        <f t="shared" si="2"/>
        <v>2</v>
      </c>
      <c r="AA31" s="6"/>
      <c r="AB31" s="298" t="str">
        <f t="shared" si="3"/>
        <v>CIRQUE</v>
      </c>
      <c r="AC31" s="337" t="str">
        <f t="shared" si="4"/>
        <v>All</v>
      </c>
    </row>
    <row r="32" spans="1:29" ht="15.95" customHeight="1">
      <c r="A32" s="332" t="str">
        <f>Info[[#This Row],[Company]] &amp; "-" &amp; Info[[#This Row],[Department]] &amp; "-" &amp; $I$2 &amp; "-" &amp; TEXT(COUNTIF(INDEX(Info[Department],1):Info[[#This Row],[Department]],Info[[#This Row],[Department]]),"0000")</f>
        <v>CIRQUE-All-Info-0027</v>
      </c>
      <c r="B32" s="333"/>
      <c r="C32" s="334" t="s">
        <v>823</v>
      </c>
      <c r="D32" s="7" t="s">
        <v>887</v>
      </c>
      <c r="E32" s="7"/>
      <c r="F32" s="7"/>
      <c r="G32" s="7"/>
      <c r="H32" s="295" t="s">
        <v>891</v>
      </c>
      <c r="I32" s="295" t="s">
        <v>893</v>
      </c>
      <c r="J32" s="335" t="s">
        <v>900</v>
      </c>
      <c r="K32" s="8"/>
      <c r="L32" s="6" t="s">
        <v>905</v>
      </c>
      <c r="M32" s="336"/>
      <c r="N32" s="8" t="s">
        <v>906</v>
      </c>
      <c r="O32" s="9" t="s">
        <v>908</v>
      </c>
      <c r="P32" s="329" t="s">
        <v>890</v>
      </c>
      <c r="Q32" s="8"/>
      <c r="R32" s="6" t="s">
        <v>920</v>
      </c>
      <c r="S32" s="7">
        <v>2</v>
      </c>
      <c r="T32" s="7">
        <v>1</v>
      </c>
      <c r="U32" s="7">
        <v>1</v>
      </c>
      <c r="V32" s="10">
        <f t="shared" si="0"/>
        <v>2</v>
      </c>
      <c r="W32" s="7">
        <v>2</v>
      </c>
      <c r="X32" s="7">
        <v>3</v>
      </c>
      <c r="Y32" s="10">
        <f t="shared" si="1"/>
        <v>1</v>
      </c>
      <c r="Z32" s="11">
        <f t="shared" si="2"/>
        <v>2</v>
      </c>
      <c r="AA32" s="6"/>
      <c r="AB32" s="298" t="str">
        <f t="shared" si="3"/>
        <v>CIRQUE</v>
      </c>
      <c r="AC32" s="337" t="str">
        <f t="shared" si="4"/>
        <v>All</v>
      </c>
    </row>
    <row r="33" spans="1:29" ht="15.95" customHeight="1">
      <c r="A33" s="332" t="str">
        <f>Info[[#This Row],[Company]] &amp; "-" &amp; Info[[#This Row],[Department]] &amp; "-" &amp; $I$2 &amp; "-" &amp; TEXT(COUNTIF(INDEX(Info[Department],1):Info[[#This Row],[Department]],Info[[#This Row],[Department]]),"0000")</f>
        <v>CIRQUE-All-Info-0028</v>
      </c>
      <c r="B33" s="333"/>
      <c r="C33" s="334" t="s">
        <v>824</v>
      </c>
      <c r="D33" s="7" t="s">
        <v>887</v>
      </c>
      <c r="E33" s="7"/>
      <c r="F33" s="7"/>
      <c r="G33" s="7"/>
      <c r="H33" s="295" t="s">
        <v>891</v>
      </c>
      <c r="I33" s="295" t="s">
        <v>893</v>
      </c>
      <c r="J33" s="335" t="s">
        <v>900</v>
      </c>
      <c r="K33" s="8"/>
      <c r="L33" s="6" t="s">
        <v>905</v>
      </c>
      <c r="M33" s="336"/>
      <c r="N33" s="8" t="s">
        <v>906</v>
      </c>
      <c r="O33" s="9" t="s">
        <v>908</v>
      </c>
      <c r="P33" s="329" t="s">
        <v>890</v>
      </c>
      <c r="Q33" s="8"/>
      <c r="R33" s="6" t="s">
        <v>920</v>
      </c>
      <c r="S33" s="7">
        <v>2</v>
      </c>
      <c r="T33" s="7">
        <v>1</v>
      </c>
      <c r="U33" s="7">
        <v>1</v>
      </c>
      <c r="V33" s="10">
        <f t="shared" si="0"/>
        <v>2</v>
      </c>
      <c r="W33" s="7">
        <v>2</v>
      </c>
      <c r="X33" s="7">
        <v>3</v>
      </c>
      <c r="Y33" s="10">
        <f t="shared" si="1"/>
        <v>1</v>
      </c>
      <c r="Z33" s="11">
        <f t="shared" si="2"/>
        <v>2</v>
      </c>
      <c r="AA33" s="6"/>
      <c r="AB33" s="298" t="str">
        <f t="shared" si="3"/>
        <v>CIRQUE</v>
      </c>
      <c r="AC33" s="337" t="str">
        <f t="shared" si="4"/>
        <v>All</v>
      </c>
    </row>
    <row r="34" spans="1:29" ht="15.95" customHeight="1">
      <c r="A34" s="332" t="str">
        <f>Info[[#This Row],[Company]] &amp; "-" &amp; Info[[#This Row],[Department]] &amp; "-" &amp; $I$2 &amp; "-" &amp; TEXT(COUNTIF(INDEX(Info[Department],1):Info[[#This Row],[Department]],Info[[#This Row],[Department]]),"0000")</f>
        <v>CIRQUE-All-Info-0029</v>
      </c>
      <c r="B34" s="333"/>
      <c r="C34" s="334" t="s">
        <v>825</v>
      </c>
      <c r="D34" s="7" t="s">
        <v>887</v>
      </c>
      <c r="E34" s="7"/>
      <c r="F34" s="7"/>
      <c r="G34" s="7"/>
      <c r="H34" s="295" t="s">
        <v>891</v>
      </c>
      <c r="I34" s="295" t="s">
        <v>893</v>
      </c>
      <c r="J34" s="335" t="s">
        <v>900</v>
      </c>
      <c r="K34" s="8"/>
      <c r="L34" s="6" t="s">
        <v>905</v>
      </c>
      <c r="M34" s="336"/>
      <c r="N34" s="8" t="s">
        <v>906</v>
      </c>
      <c r="O34" s="9" t="s">
        <v>908</v>
      </c>
      <c r="P34" s="329" t="s">
        <v>890</v>
      </c>
      <c r="Q34" s="8"/>
      <c r="R34" s="6" t="s">
        <v>920</v>
      </c>
      <c r="S34" s="7">
        <v>2</v>
      </c>
      <c r="T34" s="7">
        <v>1</v>
      </c>
      <c r="U34" s="7">
        <v>1</v>
      </c>
      <c r="V34" s="10">
        <f t="shared" si="0"/>
        <v>2</v>
      </c>
      <c r="W34" s="7">
        <v>2</v>
      </c>
      <c r="X34" s="7">
        <v>3</v>
      </c>
      <c r="Y34" s="10">
        <f t="shared" si="1"/>
        <v>1</v>
      </c>
      <c r="Z34" s="11">
        <f t="shared" si="2"/>
        <v>2</v>
      </c>
      <c r="AA34" s="6"/>
      <c r="AB34" s="298" t="str">
        <f t="shared" si="3"/>
        <v>CIRQUE</v>
      </c>
      <c r="AC34" s="337" t="str">
        <f t="shared" si="4"/>
        <v>All</v>
      </c>
    </row>
    <row r="35" spans="1:29" ht="15.95" customHeight="1">
      <c r="A35" s="332" t="str">
        <f>Info[[#This Row],[Company]] &amp; "-" &amp; Info[[#This Row],[Department]] &amp; "-" &amp; $I$2 &amp; "-" &amp; TEXT(COUNTIF(INDEX(Info[Department],1):Info[[#This Row],[Department]],Info[[#This Row],[Department]]),"0000")</f>
        <v>CIRQUE-All-Info-0030</v>
      </c>
      <c r="B35" s="333"/>
      <c r="C35" s="334" t="s">
        <v>826</v>
      </c>
      <c r="D35" s="7" t="s">
        <v>887</v>
      </c>
      <c r="E35" s="7"/>
      <c r="F35" s="7"/>
      <c r="G35" s="7"/>
      <c r="H35" s="295" t="s">
        <v>891</v>
      </c>
      <c r="I35" s="295" t="s">
        <v>893</v>
      </c>
      <c r="J35" s="335" t="s">
        <v>900</v>
      </c>
      <c r="K35" s="8"/>
      <c r="L35" s="6" t="s">
        <v>905</v>
      </c>
      <c r="M35" s="336"/>
      <c r="N35" s="8" t="s">
        <v>906</v>
      </c>
      <c r="O35" s="9" t="s">
        <v>908</v>
      </c>
      <c r="P35" s="329" t="s">
        <v>890</v>
      </c>
      <c r="Q35" s="8"/>
      <c r="R35" s="6" t="s">
        <v>920</v>
      </c>
      <c r="S35" s="7">
        <v>2</v>
      </c>
      <c r="T35" s="7">
        <v>1</v>
      </c>
      <c r="U35" s="7">
        <v>1</v>
      </c>
      <c r="V35" s="10">
        <f t="shared" si="0"/>
        <v>2</v>
      </c>
      <c r="W35" s="7">
        <v>2</v>
      </c>
      <c r="X35" s="7">
        <v>3</v>
      </c>
      <c r="Y35" s="10">
        <f t="shared" si="1"/>
        <v>1</v>
      </c>
      <c r="Z35" s="11">
        <f t="shared" si="2"/>
        <v>2</v>
      </c>
      <c r="AA35" s="6"/>
      <c r="AB35" s="298" t="str">
        <f t="shared" si="3"/>
        <v>CIRQUE</v>
      </c>
      <c r="AC35" s="337" t="str">
        <f t="shared" si="4"/>
        <v>All</v>
      </c>
    </row>
    <row r="36" spans="1:29" ht="15.95" customHeight="1">
      <c r="A36" s="332" t="str">
        <f>Info[[#This Row],[Company]] &amp; "-" &amp; Info[[#This Row],[Department]] &amp; "-" &amp; $I$2 &amp; "-" &amp; TEXT(COUNTIF(INDEX(Info[Department],1):Info[[#This Row],[Department]],Info[[#This Row],[Department]]),"0000")</f>
        <v>CIRQUE-All-Info-0031</v>
      </c>
      <c r="B36" s="333"/>
      <c r="C36" s="334" t="s">
        <v>827</v>
      </c>
      <c r="D36" s="7" t="s">
        <v>887</v>
      </c>
      <c r="E36" s="7"/>
      <c r="F36" s="7"/>
      <c r="G36" s="7"/>
      <c r="H36" s="295" t="s">
        <v>891</v>
      </c>
      <c r="I36" s="295" t="s">
        <v>893</v>
      </c>
      <c r="J36" s="335" t="s">
        <v>900</v>
      </c>
      <c r="K36" s="8"/>
      <c r="L36" s="6" t="s">
        <v>905</v>
      </c>
      <c r="M36" s="336"/>
      <c r="N36" s="8" t="s">
        <v>906</v>
      </c>
      <c r="O36" s="9" t="s">
        <v>908</v>
      </c>
      <c r="P36" s="329" t="s">
        <v>890</v>
      </c>
      <c r="Q36" s="8"/>
      <c r="R36" s="6" t="s">
        <v>920</v>
      </c>
      <c r="S36" s="7">
        <v>2</v>
      </c>
      <c r="T36" s="7">
        <v>1</v>
      </c>
      <c r="U36" s="7">
        <v>1</v>
      </c>
      <c r="V36" s="10">
        <f t="shared" si="0"/>
        <v>2</v>
      </c>
      <c r="W36" s="7">
        <v>2</v>
      </c>
      <c r="X36" s="7">
        <v>3</v>
      </c>
      <c r="Y36" s="10">
        <f t="shared" si="1"/>
        <v>1</v>
      </c>
      <c r="Z36" s="11">
        <f t="shared" si="2"/>
        <v>2</v>
      </c>
      <c r="AA36" s="6"/>
      <c r="AB36" s="298" t="str">
        <f t="shared" si="3"/>
        <v>CIRQUE</v>
      </c>
      <c r="AC36" s="337" t="str">
        <f t="shared" si="4"/>
        <v>All</v>
      </c>
    </row>
    <row r="37" spans="1:29" ht="15.95" customHeight="1">
      <c r="A37" s="332" t="str">
        <f>Info[[#This Row],[Company]] &amp; "-" &amp; Info[[#This Row],[Department]] &amp; "-" &amp; $I$2 &amp; "-" &amp; TEXT(COUNTIF(INDEX(Info[Department],1):Info[[#This Row],[Department]],Info[[#This Row],[Department]]),"0000")</f>
        <v>CIRQUE-All-Info-0032</v>
      </c>
      <c r="B37" s="333"/>
      <c r="C37" s="334" t="s">
        <v>828</v>
      </c>
      <c r="D37" s="7" t="s">
        <v>887</v>
      </c>
      <c r="E37" s="7"/>
      <c r="F37" s="7"/>
      <c r="G37" s="7"/>
      <c r="H37" s="295" t="s">
        <v>891</v>
      </c>
      <c r="I37" s="295" t="s">
        <v>893</v>
      </c>
      <c r="J37" s="335" t="s">
        <v>900</v>
      </c>
      <c r="K37" s="8"/>
      <c r="L37" s="6" t="s">
        <v>905</v>
      </c>
      <c r="M37" s="336"/>
      <c r="N37" s="8" t="s">
        <v>906</v>
      </c>
      <c r="O37" s="9" t="s">
        <v>908</v>
      </c>
      <c r="P37" s="329" t="s">
        <v>890</v>
      </c>
      <c r="Q37" s="8"/>
      <c r="R37" s="6" t="s">
        <v>920</v>
      </c>
      <c r="S37" s="7">
        <v>2</v>
      </c>
      <c r="T37" s="7">
        <v>1</v>
      </c>
      <c r="U37" s="7">
        <v>1</v>
      </c>
      <c r="V37" s="10">
        <f t="shared" si="0"/>
        <v>2</v>
      </c>
      <c r="W37" s="7">
        <v>2</v>
      </c>
      <c r="X37" s="7">
        <v>3</v>
      </c>
      <c r="Y37" s="10">
        <f t="shared" si="1"/>
        <v>1</v>
      </c>
      <c r="Z37" s="11">
        <f t="shared" si="2"/>
        <v>2</v>
      </c>
      <c r="AA37" s="6"/>
      <c r="AB37" s="298" t="str">
        <f t="shared" si="3"/>
        <v>CIRQUE</v>
      </c>
      <c r="AC37" s="337" t="str">
        <f t="shared" si="4"/>
        <v>All</v>
      </c>
    </row>
    <row r="38" spans="1:29" ht="15.95" customHeight="1">
      <c r="A38" s="332" t="str">
        <f>Info[[#This Row],[Company]] &amp; "-" &amp; Info[[#This Row],[Department]] &amp; "-" &amp; $I$2 &amp; "-" &amp; TEXT(COUNTIF(INDEX(Info[Department],1):Info[[#This Row],[Department]],Info[[#This Row],[Department]]),"0000")</f>
        <v>CIRQUE-All-Info-0033</v>
      </c>
      <c r="B38" s="333"/>
      <c r="C38" s="334" t="s">
        <v>829</v>
      </c>
      <c r="D38" s="7" t="s">
        <v>887</v>
      </c>
      <c r="E38" s="7"/>
      <c r="F38" s="7"/>
      <c r="G38" s="7"/>
      <c r="H38" s="295" t="s">
        <v>891</v>
      </c>
      <c r="I38" s="295" t="s">
        <v>893</v>
      </c>
      <c r="J38" s="335" t="s">
        <v>900</v>
      </c>
      <c r="K38" s="8"/>
      <c r="L38" s="6" t="s">
        <v>905</v>
      </c>
      <c r="M38" s="336"/>
      <c r="N38" s="8" t="s">
        <v>906</v>
      </c>
      <c r="O38" s="9" t="s">
        <v>908</v>
      </c>
      <c r="P38" s="329" t="s">
        <v>890</v>
      </c>
      <c r="Q38" s="8"/>
      <c r="R38" s="6" t="s">
        <v>920</v>
      </c>
      <c r="S38" s="7">
        <v>2</v>
      </c>
      <c r="T38" s="7">
        <v>1</v>
      </c>
      <c r="U38" s="7">
        <v>1</v>
      </c>
      <c r="V38" s="10">
        <f t="shared" si="0"/>
        <v>2</v>
      </c>
      <c r="W38" s="7">
        <v>2</v>
      </c>
      <c r="X38" s="7">
        <v>3</v>
      </c>
      <c r="Y38" s="10">
        <f t="shared" si="1"/>
        <v>1</v>
      </c>
      <c r="Z38" s="11">
        <f t="shared" si="2"/>
        <v>2</v>
      </c>
      <c r="AA38" s="6"/>
      <c r="AB38" s="298" t="str">
        <f t="shared" si="3"/>
        <v>CIRQUE</v>
      </c>
      <c r="AC38" s="337" t="str">
        <f t="shared" si="4"/>
        <v>All</v>
      </c>
    </row>
    <row r="39" spans="1:29" ht="15.95" customHeight="1">
      <c r="A39" s="332" t="str">
        <f>Info[[#This Row],[Company]] &amp; "-" &amp; Info[[#This Row],[Department]] &amp; "-" &amp; $I$2 &amp; "-" &amp; TEXT(COUNTIF(INDEX(Info[Department],1):Info[[#This Row],[Department]],Info[[#This Row],[Department]]),"0000")</f>
        <v>CIRQUE-All-Info-0034</v>
      </c>
      <c r="B39" s="333"/>
      <c r="C39" s="334" t="s">
        <v>830</v>
      </c>
      <c r="D39" s="7" t="s">
        <v>887</v>
      </c>
      <c r="E39" s="7"/>
      <c r="F39" s="7"/>
      <c r="G39" s="7"/>
      <c r="H39" s="295" t="s">
        <v>891</v>
      </c>
      <c r="I39" s="295" t="s">
        <v>893</v>
      </c>
      <c r="J39" s="335" t="s">
        <v>900</v>
      </c>
      <c r="K39" s="8"/>
      <c r="L39" s="6" t="s">
        <v>905</v>
      </c>
      <c r="M39" s="336"/>
      <c r="N39" s="8" t="s">
        <v>906</v>
      </c>
      <c r="O39" s="9" t="s">
        <v>908</v>
      </c>
      <c r="P39" s="329" t="s">
        <v>890</v>
      </c>
      <c r="Q39" s="8"/>
      <c r="R39" s="6" t="s">
        <v>920</v>
      </c>
      <c r="S39" s="7">
        <v>2</v>
      </c>
      <c r="T39" s="7">
        <v>1</v>
      </c>
      <c r="U39" s="7">
        <v>1</v>
      </c>
      <c r="V39" s="10">
        <f t="shared" ref="V39:V70" si="5">MAX(S39:U128)</f>
        <v>2</v>
      </c>
      <c r="W39" s="7">
        <v>2</v>
      </c>
      <c r="X39" s="7">
        <v>3</v>
      </c>
      <c r="Y39" s="10">
        <f t="shared" ref="Y39:Y70" si="6">MAXA(W39-X39,1)</f>
        <v>1</v>
      </c>
      <c r="Z39" s="11">
        <f t="shared" ref="Z39:Z70" si="7">V39*Y39</f>
        <v>2</v>
      </c>
      <c r="AA39" s="6"/>
      <c r="AB39" s="298" t="str">
        <f t="shared" ref="AB39:AB70" si="8">$F$2</f>
        <v>CIRQUE</v>
      </c>
      <c r="AC39" s="337" t="str">
        <f t="shared" ref="AC39:AC70" si="9">$H$2</f>
        <v>All</v>
      </c>
    </row>
    <row r="40" spans="1:29" ht="15.95" customHeight="1">
      <c r="A40" s="332" t="str">
        <f>Info[[#This Row],[Company]] &amp; "-" &amp; Info[[#This Row],[Department]] &amp; "-" &amp; $I$2 &amp; "-" &amp; TEXT(COUNTIF(INDEX(Info[Department],1):Info[[#This Row],[Department]],Info[[#This Row],[Department]]),"0000")</f>
        <v>CIRQUE-All-Info-0035</v>
      </c>
      <c r="B40" s="333"/>
      <c r="C40" s="334" t="s">
        <v>831</v>
      </c>
      <c r="D40" s="7" t="s">
        <v>887</v>
      </c>
      <c r="E40" s="7"/>
      <c r="F40" s="7"/>
      <c r="G40" s="7"/>
      <c r="H40" s="295" t="s">
        <v>891</v>
      </c>
      <c r="I40" s="295" t="s">
        <v>893</v>
      </c>
      <c r="J40" s="335" t="s">
        <v>900</v>
      </c>
      <c r="K40" s="8"/>
      <c r="L40" s="6" t="s">
        <v>905</v>
      </c>
      <c r="M40" s="336"/>
      <c r="N40" s="8" t="s">
        <v>906</v>
      </c>
      <c r="O40" s="9" t="s">
        <v>908</v>
      </c>
      <c r="P40" s="329" t="s">
        <v>890</v>
      </c>
      <c r="Q40" s="8"/>
      <c r="R40" s="6" t="s">
        <v>920</v>
      </c>
      <c r="S40" s="7">
        <v>2</v>
      </c>
      <c r="T40" s="7">
        <v>1</v>
      </c>
      <c r="U40" s="7">
        <v>1</v>
      </c>
      <c r="V40" s="10">
        <f t="shared" si="5"/>
        <v>2</v>
      </c>
      <c r="W40" s="7">
        <v>2</v>
      </c>
      <c r="X40" s="7">
        <v>3</v>
      </c>
      <c r="Y40" s="10">
        <f t="shared" si="6"/>
        <v>1</v>
      </c>
      <c r="Z40" s="11">
        <f t="shared" si="7"/>
        <v>2</v>
      </c>
      <c r="AA40" s="6"/>
      <c r="AB40" s="298" t="str">
        <f t="shared" si="8"/>
        <v>CIRQUE</v>
      </c>
      <c r="AC40" s="337" t="str">
        <f t="shared" si="9"/>
        <v>All</v>
      </c>
    </row>
    <row r="41" spans="1:29" ht="15.95" customHeight="1">
      <c r="A41" s="332" t="str">
        <f>Info[[#This Row],[Company]] &amp; "-" &amp; Info[[#This Row],[Department]] &amp; "-" &amp; $I$2 &amp; "-" &amp; TEXT(COUNTIF(INDEX(Info[Department],1):Info[[#This Row],[Department]],Info[[#This Row],[Department]]),"0000")</f>
        <v>CIRQUE-All-Info-0036</v>
      </c>
      <c r="B41" s="333"/>
      <c r="C41" s="334" t="s">
        <v>832</v>
      </c>
      <c r="D41" s="7" t="s">
        <v>887</v>
      </c>
      <c r="E41" s="7"/>
      <c r="F41" s="7"/>
      <c r="G41" s="7"/>
      <c r="H41" s="295" t="s">
        <v>891</v>
      </c>
      <c r="I41" s="295" t="s">
        <v>893</v>
      </c>
      <c r="J41" s="335" t="s">
        <v>900</v>
      </c>
      <c r="K41" s="8"/>
      <c r="L41" s="6" t="s">
        <v>905</v>
      </c>
      <c r="M41" s="336"/>
      <c r="N41" s="8" t="s">
        <v>906</v>
      </c>
      <c r="O41" s="9" t="s">
        <v>908</v>
      </c>
      <c r="P41" s="329" t="s">
        <v>890</v>
      </c>
      <c r="Q41" s="8"/>
      <c r="R41" s="6" t="s">
        <v>920</v>
      </c>
      <c r="S41" s="7">
        <v>2</v>
      </c>
      <c r="T41" s="7">
        <v>1</v>
      </c>
      <c r="U41" s="7">
        <v>1</v>
      </c>
      <c r="V41" s="10">
        <f t="shared" si="5"/>
        <v>2</v>
      </c>
      <c r="W41" s="7">
        <v>2</v>
      </c>
      <c r="X41" s="7">
        <v>3</v>
      </c>
      <c r="Y41" s="10">
        <f t="shared" si="6"/>
        <v>1</v>
      </c>
      <c r="Z41" s="11">
        <f t="shared" si="7"/>
        <v>2</v>
      </c>
      <c r="AA41" s="6"/>
      <c r="AB41" s="298" t="str">
        <f t="shared" si="8"/>
        <v>CIRQUE</v>
      </c>
      <c r="AC41" s="337" t="str">
        <f t="shared" si="9"/>
        <v>All</v>
      </c>
    </row>
    <row r="42" spans="1:29" ht="15.95" customHeight="1">
      <c r="A42" s="332" t="str">
        <f>Info[[#This Row],[Company]] &amp; "-" &amp; Info[[#This Row],[Department]] &amp; "-" &amp; $I$2 &amp; "-" &amp; TEXT(COUNTIF(INDEX(Info[Department],1):Info[[#This Row],[Department]],Info[[#This Row],[Department]]),"0000")</f>
        <v>CIRQUE-All-Info-0037</v>
      </c>
      <c r="B42" s="333"/>
      <c r="C42" s="334" t="s">
        <v>833</v>
      </c>
      <c r="D42" s="7" t="s">
        <v>887</v>
      </c>
      <c r="E42" s="7"/>
      <c r="F42" s="7"/>
      <c r="G42" s="7"/>
      <c r="H42" s="295" t="s">
        <v>891</v>
      </c>
      <c r="I42" s="295" t="s">
        <v>893</v>
      </c>
      <c r="J42" s="335" t="s">
        <v>900</v>
      </c>
      <c r="K42" s="8"/>
      <c r="L42" s="6" t="s">
        <v>905</v>
      </c>
      <c r="M42" s="336"/>
      <c r="N42" s="8" t="s">
        <v>906</v>
      </c>
      <c r="O42" s="9" t="s">
        <v>908</v>
      </c>
      <c r="P42" s="329" t="s">
        <v>890</v>
      </c>
      <c r="Q42" s="8"/>
      <c r="R42" s="6" t="s">
        <v>920</v>
      </c>
      <c r="S42" s="7">
        <v>2</v>
      </c>
      <c r="T42" s="7">
        <v>1</v>
      </c>
      <c r="U42" s="7">
        <v>1</v>
      </c>
      <c r="V42" s="10">
        <f t="shared" si="5"/>
        <v>2</v>
      </c>
      <c r="W42" s="7">
        <v>2</v>
      </c>
      <c r="X42" s="7">
        <v>3</v>
      </c>
      <c r="Y42" s="10">
        <f t="shared" si="6"/>
        <v>1</v>
      </c>
      <c r="Z42" s="11">
        <f t="shared" si="7"/>
        <v>2</v>
      </c>
      <c r="AA42" s="6"/>
      <c r="AB42" s="298" t="str">
        <f t="shared" si="8"/>
        <v>CIRQUE</v>
      </c>
      <c r="AC42" s="337" t="str">
        <f t="shared" si="9"/>
        <v>All</v>
      </c>
    </row>
    <row r="43" spans="1:29" ht="15.95" customHeight="1">
      <c r="A43" s="332" t="str">
        <f>Info[[#This Row],[Company]] &amp; "-" &amp; Info[[#This Row],[Department]] &amp; "-" &amp; $I$2 &amp; "-" &amp; TEXT(COUNTIF(INDEX(Info[Department],1):Info[[#This Row],[Department]],Info[[#This Row],[Department]]),"0000")</f>
        <v>CIRQUE-All-Info-0038</v>
      </c>
      <c r="B43" s="333"/>
      <c r="C43" s="334" t="s">
        <v>834</v>
      </c>
      <c r="D43" s="7" t="s">
        <v>887</v>
      </c>
      <c r="E43" s="7"/>
      <c r="F43" s="7"/>
      <c r="G43" s="7"/>
      <c r="H43" s="295" t="s">
        <v>891</v>
      </c>
      <c r="I43" s="295" t="s">
        <v>893</v>
      </c>
      <c r="J43" s="335" t="s">
        <v>900</v>
      </c>
      <c r="K43" s="8"/>
      <c r="L43" s="6" t="s">
        <v>905</v>
      </c>
      <c r="M43" s="336"/>
      <c r="N43" s="8" t="s">
        <v>906</v>
      </c>
      <c r="O43" s="9" t="s">
        <v>908</v>
      </c>
      <c r="P43" s="329" t="s">
        <v>890</v>
      </c>
      <c r="Q43" s="8"/>
      <c r="R43" s="6" t="s">
        <v>920</v>
      </c>
      <c r="S43" s="7">
        <v>2</v>
      </c>
      <c r="T43" s="7">
        <v>1</v>
      </c>
      <c r="U43" s="7">
        <v>1</v>
      </c>
      <c r="V43" s="10">
        <f t="shared" si="5"/>
        <v>2</v>
      </c>
      <c r="W43" s="7">
        <v>2</v>
      </c>
      <c r="X43" s="7">
        <v>3</v>
      </c>
      <c r="Y43" s="10">
        <f t="shared" si="6"/>
        <v>1</v>
      </c>
      <c r="Z43" s="11">
        <f t="shared" si="7"/>
        <v>2</v>
      </c>
      <c r="AA43" s="6"/>
      <c r="AB43" s="298" t="str">
        <f t="shared" si="8"/>
        <v>CIRQUE</v>
      </c>
      <c r="AC43" s="337" t="str">
        <f t="shared" si="9"/>
        <v>All</v>
      </c>
    </row>
    <row r="44" spans="1:29" ht="15.95" customHeight="1">
      <c r="A44" s="332" t="str">
        <f>Info[[#This Row],[Company]] &amp; "-" &amp; Info[[#This Row],[Department]] &amp; "-" &amp; $I$2 &amp; "-" &amp; TEXT(COUNTIF(INDEX(Info[Department],1):Info[[#This Row],[Department]],Info[[#This Row],[Department]]),"0000")</f>
        <v>CIRQUE-All-Info-0039</v>
      </c>
      <c r="B44" s="333"/>
      <c r="C44" s="334" t="s">
        <v>835</v>
      </c>
      <c r="D44" s="7" t="s">
        <v>887</v>
      </c>
      <c r="E44" s="7"/>
      <c r="F44" s="7"/>
      <c r="G44" s="7"/>
      <c r="H44" s="295" t="s">
        <v>891</v>
      </c>
      <c r="I44" s="295" t="s">
        <v>893</v>
      </c>
      <c r="J44" s="335" t="s">
        <v>900</v>
      </c>
      <c r="K44" s="8"/>
      <c r="L44" s="6" t="s">
        <v>905</v>
      </c>
      <c r="M44" s="336"/>
      <c r="N44" s="8" t="s">
        <v>906</v>
      </c>
      <c r="O44" s="9" t="s">
        <v>908</v>
      </c>
      <c r="P44" s="329" t="s">
        <v>890</v>
      </c>
      <c r="Q44" s="8"/>
      <c r="R44" s="6" t="s">
        <v>920</v>
      </c>
      <c r="S44" s="7">
        <v>2</v>
      </c>
      <c r="T44" s="7">
        <v>1</v>
      </c>
      <c r="U44" s="7">
        <v>1</v>
      </c>
      <c r="V44" s="10">
        <f t="shared" si="5"/>
        <v>2</v>
      </c>
      <c r="W44" s="7">
        <v>2</v>
      </c>
      <c r="X44" s="7">
        <v>3</v>
      </c>
      <c r="Y44" s="10">
        <f t="shared" si="6"/>
        <v>1</v>
      </c>
      <c r="Z44" s="11">
        <f t="shared" si="7"/>
        <v>2</v>
      </c>
      <c r="AA44" s="6"/>
      <c r="AB44" s="298" t="str">
        <f t="shared" si="8"/>
        <v>CIRQUE</v>
      </c>
      <c r="AC44" s="337" t="str">
        <f t="shared" si="9"/>
        <v>All</v>
      </c>
    </row>
    <row r="45" spans="1:29" ht="15.95" customHeight="1">
      <c r="A45" s="332" t="str">
        <f>Info[[#This Row],[Company]] &amp; "-" &amp; Info[[#This Row],[Department]] &amp; "-" &amp; $I$2 &amp; "-" &amp; TEXT(COUNTIF(INDEX(Info[Department],1):Info[[#This Row],[Department]],Info[[#This Row],[Department]]),"0000")</f>
        <v>CIRQUE-All-Info-0040</v>
      </c>
      <c r="B45" s="333"/>
      <c r="C45" s="334" t="s">
        <v>836</v>
      </c>
      <c r="D45" s="7" t="s">
        <v>887</v>
      </c>
      <c r="E45" s="7"/>
      <c r="F45" s="7"/>
      <c r="G45" s="7"/>
      <c r="H45" s="295" t="s">
        <v>891</v>
      </c>
      <c r="I45" s="295" t="s">
        <v>893</v>
      </c>
      <c r="J45" s="335" t="s">
        <v>900</v>
      </c>
      <c r="K45" s="8"/>
      <c r="L45" s="6" t="s">
        <v>905</v>
      </c>
      <c r="M45" s="336"/>
      <c r="N45" s="8" t="s">
        <v>906</v>
      </c>
      <c r="O45" s="9" t="s">
        <v>908</v>
      </c>
      <c r="P45" s="329" t="s">
        <v>890</v>
      </c>
      <c r="Q45" s="8"/>
      <c r="R45" s="6" t="s">
        <v>920</v>
      </c>
      <c r="S45" s="7">
        <v>2</v>
      </c>
      <c r="T45" s="7">
        <v>1</v>
      </c>
      <c r="U45" s="7">
        <v>1</v>
      </c>
      <c r="V45" s="10">
        <f t="shared" si="5"/>
        <v>2</v>
      </c>
      <c r="W45" s="7">
        <v>2</v>
      </c>
      <c r="X45" s="7">
        <v>3</v>
      </c>
      <c r="Y45" s="10">
        <f t="shared" si="6"/>
        <v>1</v>
      </c>
      <c r="Z45" s="11">
        <f t="shared" si="7"/>
        <v>2</v>
      </c>
      <c r="AA45" s="6"/>
      <c r="AB45" s="298" t="str">
        <f t="shared" si="8"/>
        <v>CIRQUE</v>
      </c>
      <c r="AC45" s="337" t="str">
        <f t="shared" si="9"/>
        <v>All</v>
      </c>
    </row>
    <row r="46" spans="1:29" ht="15.95" customHeight="1">
      <c r="A46" s="332" t="str">
        <f>Info[[#This Row],[Company]] &amp; "-" &amp; Info[[#This Row],[Department]] &amp; "-" &amp; $I$2 &amp; "-" &amp; TEXT(COUNTIF(INDEX(Info[Department],1):Info[[#This Row],[Department]],Info[[#This Row],[Department]]),"0000")</f>
        <v>CIRQUE-All-Info-0041</v>
      </c>
      <c r="B46" s="333"/>
      <c r="C46" s="334" t="s">
        <v>837</v>
      </c>
      <c r="D46" s="7" t="s">
        <v>887</v>
      </c>
      <c r="E46" s="7"/>
      <c r="F46" s="7"/>
      <c r="G46" s="7"/>
      <c r="H46" s="295" t="s">
        <v>891</v>
      </c>
      <c r="I46" s="295" t="s">
        <v>893</v>
      </c>
      <c r="J46" s="335" t="s">
        <v>900</v>
      </c>
      <c r="K46" s="8"/>
      <c r="L46" s="6" t="s">
        <v>905</v>
      </c>
      <c r="M46" s="336"/>
      <c r="N46" s="8" t="s">
        <v>906</v>
      </c>
      <c r="O46" s="9" t="s">
        <v>908</v>
      </c>
      <c r="P46" s="329" t="s">
        <v>890</v>
      </c>
      <c r="Q46" s="8"/>
      <c r="R46" s="6" t="s">
        <v>920</v>
      </c>
      <c r="S46" s="7">
        <v>2</v>
      </c>
      <c r="T46" s="7">
        <v>1</v>
      </c>
      <c r="U46" s="7">
        <v>1</v>
      </c>
      <c r="V46" s="10">
        <f t="shared" si="5"/>
        <v>2</v>
      </c>
      <c r="W46" s="7">
        <v>2</v>
      </c>
      <c r="X46" s="7">
        <v>3</v>
      </c>
      <c r="Y46" s="10">
        <f t="shared" si="6"/>
        <v>1</v>
      </c>
      <c r="Z46" s="11">
        <f t="shared" si="7"/>
        <v>2</v>
      </c>
      <c r="AA46" s="6"/>
      <c r="AB46" s="298" t="str">
        <f t="shared" si="8"/>
        <v>CIRQUE</v>
      </c>
      <c r="AC46" s="337" t="str">
        <f t="shared" si="9"/>
        <v>All</v>
      </c>
    </row>
    <row r="47" spans="1:29" ht="15.95" customHeight="1">
      <c r="A47" s="332" t="str">
        <f>Info[[#This Row],[Company]] &amp; "-" &amp; Info[[#This Row],[Department]] &amp; "-" &amp; $I$2 &amp; "-" &amp; TEXT(COUNTIF(INDEX(Info[Department],1):Info[[#This Row],[Department]],Info[[#This Row],[Department]]),"0000")</f>
        <v>CIRQUE-All-Info-0042</v>
      </c>
      <c r="B47" s="333"/>
      <c r="C47" s="334" t="s">
        <v>838</v>
      </c>
      <c r="D47" s="7" t="s">
        <v>887</v>
      </c>
      <c r="E47" s="7"/>
      <c r="F47" s="7"/>
      <c r="G47" s="7"/>
      <c r="H47" s="295" t="s">
        <v>891</v>
      </c>
      <c r="I47" s="295" t="s">
        <v>893</v>
      </c>
      <c r="J47" s="335" t="s">
        <v>900</v>
      </c>
      <c r="K47" s="8"/>
      <c r="L47" s="6" t="s">
        <v>905</v>
      </c>
      <c r="M47" s="336"/>
      <c r="N47" s="8" t="s">
        <v>906</v>
      </c>
      <c r="O47" s="9" t="s">
        <v>908</v>
      </c>
      <c r="P47" s="329" t="s">
        <v>890</v>
      </c>
      <c r="Q47" s="8"/>
      <c r="R47" s="6" t="s">
        <v>920</v>
      </c>
      <c r="S47" s="7">
        <v>2</v>
      </c>
      <c r="T47" s="7">
        <v>1</v>
      </c>
      <c r="U47" s="7">
        <v>1</v>
      </c>
      <c r="V47" s="10">
        <f t="shared" si="5"/>
        <v>2</v>
      </c>
      <c r="W47" s="7">
        <v>2</v>
      </c>
      <c r="X47" s="7">
        <v>3</v>
      </c>
      <c r="Y47" s="10">
        <f t="shared" si="6"/>
        <v>1</v>
      </c>
      <c r="Z47" s="11">
        <f t="shared" si="7"/>
        <v>2</v>
      </c>
      <c r="AA47" s="6"/>
      <c r="AB47" s="298" t="str">
        <f t="shared" si="8"/>
        <v>CIRQUE</v>
      </c>
      <c r="AC47" s="337" t="str">
        <f t="shared" si="9"/>
        <v>All</v>
      </c>
    </row>
    <row r="48" spans="1:29" ht="15.95" customHeight="1">
      <c r="A48" s="332" t="str">
        <f>Info[[#This Row],[Company]] &amp; "-" &amp; Info[[#This Row],[Department]] &amp; "-" &amp; $I$2 &amp; "-" &amp; TEXT(COUNTIF(INDEX(Info[Department],1):Info[[#This Row],[Department]],Info[[#This Row],[Department]]),"0000")</f>
        <v>CIRQUE-All-Info-0043</v>
      </c>
      <c r="B48" s="333"/>
      <c r="C48" s="334" t="s">
        <v>839</v>
      </c>
      <c r="D48" s="7" t="s">
        <v>887</v>
      </c>
      <c r="E48" s="7"/>
      <c r="F48" s="7"/>
      <c r="G48" s="7"/>
      <c r="H48" s="295" t="s">
        <v>891</v>
      </c>
      <c r="I48" s="295" t="s">
        <v>893</v>
      </c>
      <c r="J48" s="335" t="s">
        <v>900</v>
      </c>
      <c r="K48" s="8"/>
      <c r="L48" s="6" t="s">
        <v>905</v>
      </c>
      <c r="M48" s="336"/>
      <c r="N48" s="8" t="s">
        <v>906</v>
      </c>
      <c r="O48" s="9" t="s">
        <v>908</v>
      </c>
      <c r="P48" s="329" t="s">
        <v>890</v>
      </c>
      <c r="Q48" s="8"/>
      <c r="R48" s="6" t="s">
        <v>920</v>
      </c>
      <c r="S48" s="7">
        <v>2</v>
      </c>
      <c r="T48" s="7">
        <v>1</v>
      </c>
      <c r="U48" s="7">
        <v>1</v>
      </c>
      <c r="V48" s="10">
        <f t="shared" si="5"/>
        <v>2</v>
      </c>
      <c r="W48" s="7">
        <v>2</v>
      </c>
      <c r="X48" s="7">
        <v>3</v>
      </c>
      <c r="Y48" s="10">
        <f t="shared" si="6"/>
        <v>1</v>
      </c>
      <c r="Z48" s="11">
        <f t="shared" si="7"/>
        <v>2</v>
      </c>
      <c r="AA48" s="6"/>
      <c r="AB48" s="298" t="str">
        <f t="shared" si="8"/>
        <v>CIRQUE</v>
      </c>
      <c r="AC48" s="337" t="str">
        <f t="shared" si="9"/>
        <v>All</v>
      </c>
    </row>
    <row r="49" spans="1:29" ht="15.95" customHeight="1">
      <c r="A49" s="332" t="str">
        <f>Info[[#This Row],[Company]] &amp; "-" &amp; Info[[#This Row],[Department]] &amp; "-" &amp; $I$2 &amp; "-" &amp; TEXT(COUNTIF(INDEX(Info[Department],1):Info[[#This Row],[Department]],Info[[#This Row],[Department]]),"0000")</f>
        <v>CIRQUE-All-Info-0044</v>
      </c>
      <c r="B49" s="333"/>
      <c r="C49" s="334" t="s">
        <v>840</v>
      </c>
      <c r="D49" s="7" t="s">
        <v>887</v>
      </c>
      <c r="E49" s="7"/>
      <c r="F49" s="7"/>
      <c r="G49" s="7"/>
      <c r="H49" s="295" t="s">
        <v>891</v>
      </c>
      <c r="I49" s="295" t="s">
        <v>893</v>
      </c>
      <c r="J49" s="335" t="s">
        <v>900</v>
      </c>
      <c r="K49" s="8"/>
      <c r="L49" s="6" t="s">
        <v>905</v>
      </c>
      <c r="M49" s="336"/>
      <c r="N49" s="8" t="s">
        <v>906</v>
      </c>
      <c r="O49" s="9" t="s">
        <v>908</v>
      </c>
      <c r="P49" s="329" t="s">
        <v>890</v>
      </c>
      <c r="Q49" s="8"/>
      <c r="R49" s="6" t="s">
        <v>920</v>
      </c>
      <c r="S49" s="7">
        <v>2</v>
      </c>
      <c r="T49" s="7">
        <v>1</v>
      </c>
      <c r="U49" s="7">
        <v>1</v>
      </c>
      <c r="V49" s="10">
        <f t="shared" si="5"/>
        <v>2</v>
      </c>
      <c r="W49" s="7">
        <v>2</v>
      </c>
      <c r="X49" s="7">
        <v>3</v>
      </c>
      <c r="Y49" s="10">
        <f t="shared" si="6"/>
        <v>1</v>
      </c>
      <c r="Z49" s="11">
        <f t="shared" si="7"/>
        <v>2</v>
      </c>
      <c r="AA49" s="6"/>
      <c r="AB49" s="298" t="str">
        <f t="shared" si="8"/>
        <v>CIRQUE</v>
      </c>
      <c r="AC49" s="337" t="str">
        <f t="shared" si="9"/>
        <v>All</v>
      </c>
    </row>
    <row r="50" spans="1:29" ht="15.95" customHeight="1">
      <c r="A50" s="332" t="str">
        <f>Info[[#This Row],[Company]] &amp; "-" &amp; Info[[#This Row],[Department]] &amp; "-" &amp; $I$2 &amp; "-" &amp; TEXT(COUNTIF(INDEX(Info[Department],1):Info[[#This Row],[Department]],Info[[#This Row],[Department]]),"0000")</f>
        <v>CIRQUE-All-Info-0045</v>
      </c>
      <c r="B50" s="333"/>
      <c r="C50" s="334" t="s">
        <v>841</v>
      </c>
      <c r="D50" s="7" t="s">
        <v>887</v>
      </c>
      <c r="E50" s="7"/>
      <c r="F50" s="7"/>
      <c r="G50" s="7"/>
      <c r="H50" s="295" t="s">
        <v>891</v>
      </c>
      <c r="I50" s="295" t="s">
        <v>893</v>
      </c>
      <c r="J50" s="335" t="s">
        <v>900</v>
      </c>
      <c r="K50" s="8"/>
      <c r="L50" s="6" t="s">
        <v>905</v>
      </c>
      <c r="M50" s="336"/>
      <c r="N50" s="8" t="s">
        <v>906</v>
      </c>
      <c r="O50" s="9" t="s">
        <v>908</v>
      </c>
      <c r="P50" s="329" t="s">
        <v>890</v>
      </c>
      <c r="Q50" s="8"/>
      <c r="R50" s="6" t="s">
        <v>920</v>
      </c>
      <c r="S50" s="7">
        <v>2</v>
      </c>
      <c r="T50" s="7">
        <v>1</v>
      </c>
      <c r="U50" s="7">
        <v>1</v>
      </c>
      <c r="V50" s="10">
        <f t="shared" si="5"/>
        <v>2</v>
      </c>
      <c r="W50" s="7">
        <v>2</v>
      </c>
      <c r="X50" s="7">
        <v>3</v>
      </c>
      <c r="Y50" s="10">
        <f t="shared" si="6"/>
        <v>1</v>
      </c>
      <c r="Z50" s="11">
        <f t="shared" si="7"/>
        <v>2</v>
      </c>
      <c r="AA50" s="6"/>
      <c r="AB50" s="298" t="str">
        <f t="shared" si="8"/>
        <v>CIRQUE</v>
      </c>
      <c r="AC50" s="337" t="str">
        <f t="shared" si="9"/>
        <v>All</v>
      </c>
    </row>
    <row r="51" spans="1:29" ht="15.95" customHeight="1">
      <c r="A51" s="332" t="str">
        <f>Info[[#This Row],[Company]] &amp; "-" &amp; Info[[#This Row],[Department]] &amp; "-" &amp; $I$2 &amp; "-" &amp; TEXT(COUNTIF(INDEX(Info[Department],1):Info[[#This Row],[Department]],Info[[#This Row],[Department]]),"0000")</f>
        <v>CIRQUE-All-Info-0046</v>
      </c>
      <c r="B51" s="333"/>
      <c r="C51" s="334" t="s">
        <v>842</v>
      </c>
      <c r="D51" s="7" t="s">
        <v>887</v>
      </c>
      <c r="E51" s="7"/>
      <c r="F51" s="7"/>
      <c r="G51" s="7"/>
      <c r="H51" s="295" t="s">
        <v>891</v>
      </c>
      <c r="I51" s="295" t="s">
        <v>893</v>
      </c>
      <c r="J51" s="335" t="s">
        <v>900</v>
      </c>
      <c r="K51" s="8"/>
      <c r="L51" s="6" t="s">
        <v>905</v>
      </c>
      <c r="M51" s="336"/>
      <c r="N51" s="8" t="s">
        <v>906</v>
      </c>
      <c r="O51" s="9" t="s">
        <v>908</v>
      </c>
      <c r="P51" s="329" t="s">
        <v>890</v>
      </c>
      <c r="Q51" s="8"/>
      <c r="R51" s="6" t="s">
        <v>920</v>
      </c>
      <c r="S51" s="7">
        <v>2</v>
      </c>
      <c r="T51" s="7">
        <v>1</v>
      </c>
      <c r="U51" s="7">
        <v>1</v>
      </c>
      <c r="V51" s="10">
        <f t="shared" si="5"/>
        <v>2</v>
      </c>
      <c r="W51" s="7">
        <v>2</v>
      </c>
      <c r="X51" s="7">
        <v>3</v>
      </c>
      <c r="Y51" s="10">
        <f t="shared" si="6"/>
        <v>1</v>
      </c>
      <c r="Z51" s="11">
        <f t="shared" si="7"/>
        <v>2</v>
      </c>
      <c r="AA51" s="6"/>
      <c r="AB51" s="298" t="str">
        <f t="shared" si="8"/>
        <v>CIRQUE</v>
      </c>
      <c r="AC51" s="337" t="str">
        <f t="shared" si="9"/>
        <v>All</v>
      </c>
    </row>
    <row r="52" spans="1:29" ht="15.95" customHeight="1">
      <c r="A52" s="332" t="str">
        <f>Info[[#This Row],[Company]] &amp; "-" &amp; Info[[#This Row],[Department]] &amp; "-" &amp; $I$2 &amp; "-" &amp; TEXT(COUNTIF(INDEX(Info[Department],1):Info[[#This Row],[Department]],Info[[#This Row],[Department]]),"0000")</f>
        <v>CIRQUE-All-Info-0047</v>
      </c>
      <c r="B52" s="333"/>
      <c r="C52" s="334" t="s">
        <v>843</v>
      </c>
      <c r="D52" s="7" t="s">
        <v>887</v>
      </c>
      <c r="E52" s="7"/>
      <c r="F52" s="7"/>
      <c r="G52" s="7"/>
      <c r="H52" s="295" t="s">
        <v>891</v>
      </c>
      <c r="I52" s="295" t="s">
        <v>893</v>
      </c>
      <c r="J52" s="335" t="s">
        <v>900</v>
      </c>
      <c r="K52" s="8"/>
      <c r="L52" s="6" t="s">
        <v>905</v>
      </c>
      <c r="M52" s="336"/>
      <c r="N52" s="8" t="s">
        <v>906</v>
      </c>
      <c r="O52" s="9" t="s">
        <v>908</v>
      </c>
      <c r="P52" s="329" t="s">
        <v>890</v>
      </c>
      <c r="Q52" s="8"/>
      <c r="R52" s="6" t="s">
        <v>920</v>
      </c>
      <c r="S52" s="7">
        <v>2</v>
      </c>
      <c r="T52" s="7">
        <v>1</v>
      </c>
      <c r="U52" s="7">
        <v>1</v>
      </c>
      <c r="V52" s="10">
        <f t="shared" si="5"/>
        <v>2</v>
      </c>
      <c r="W52" s="7">
        <v>2</v>
      </c>
      <c r="X52" s="7">
        <v>3</v>
      </c>
      <c r="Y52" s="10">
        <f t="shared" si="6"/>
        <v>1</v>
      </c>
      <c r="Z52" s="11">
        <f t="shared" si="7"/>
        <v>2</v>
      </c>
      <c r="AA52" s="6"/>
      <c r="AB52" s="298" t="str">
        <f t="shared" si="8"/>
        <v>CIRQUE</v>
      </c>
      <c r="AC52" s="337" t="str">
        <f t="shared" si="9"/>
        <v>All</v>
      </c>
    </row>
    <row r="53" spans="1:29" ht="15.95" customHeight="1">
      <c r="A53" s="332" t="str">
        <f>Info[[#This Row],[Company]] &amp; "-" &amp; Info[[#This Row],[Department]] &amp; "-" &amp; $I$2 &amp; "-" &amp; TEXT(COUNTIF(INDEX(Info[Department],1):Info[[#This Row],[Department]],Info[[#This Row],[Department]]),"0000")</f>
        <v>CIRQUE-All-Info-0048</v>
      </c>
      <c r="B53" s="333"/>
      <c r="C53" s="334" t="s">
        <v>844</v>
      </c>
      <c r="D53" s="7" t="s">
        <v>887</v>
      </c>
      <c r="E53" s="7"/>
      <c r="F53" s="7"/>
      <c r="G53" s="7"/>
      <c r="H53" s="295" t="s">
        <v>891</v>
      </c>
      <c r="I53" s="295" t="s">
        <v>893</v>
      </c>
      <c r="J53" s="335" t="s">
        <v>900</v>
      </c>
      <c r="K53" s="8"/>
      <c r="L53" s="6" t="s">
        <v>905</v>
      </c>
      <c r="M53" s="336"/>
      <c r="N53" s="8" t="s">
        <v>906</v>
      </c>
      <c r="O53" s="9" t="s">
        <v>908</v>
      </c>
      <c r="P53" s="329" t="s">
        <v>890</v>
      </c>
      <c r="Q53" s="8"/>
      <c r="R53" s="6" t="s">
        <v>920</v>
      </c>
      <c r="S53" s="7">
        <v>2</v>
      </c>
      <c r="T53" s="7">
        <v>1</v>
      </c>
      <c r="U53" s="7">
        <v>1</v>
      </c>
      <c r="V53" s="10">
        <f t="shared" si="5"/>
        <v>2</v>
      </c>
      <c r="W53" s="7">
        <v>2</v>
      </c>
      <c r="X53" s="7">
        <v>3</v>
      </c>
      <c r="Y53" s="10">
        <f t="shared" si="6"/>
        <v>1</v>
      </c>
      <c r="Z53" s="11">
        <f t="shared" si="7"/>
        <v>2</v>
      </c>
      <c r="AA53" s="6"/>
      <c r="AB53" s="298" t="str">
        <f t="shared" si="8"/>
        <v>CIRQUE</v>
      </c>
      <c r="AC53" s="337" t="str">
        <f t="shared" si="9"/>
        <v>All</v>
      </c>
    </row>
    <row r="54" spans="1:29" ht="15.95" customHeight="1">
      <c r="A54" s="332" t="str">
        <f>Info[[#This Row],[Company]] &amp; "-" &amp; Info[[#This Row],[Department]] &amp; "-" &amp; $I$2 &amp; "-" &amp; TEXT(COUNTIF(INDEX(Info[Department],1):Info[[#This Row],[Department]],Info[[#This Row],[Department]]),"0000")</f>
        <v>CIRQUE-All-Info-0049</v>
      </c>
      <c r="B54" s="333"/>
      <c r="C54" s="334" t="s">
        <v>845</v>
      </c>
      <c r="D54" s="7" t="s">
        <v>887</v>
      </c>
      <c r="E54" s="7"/>
      <c r="F54" s="7"/>
      <c r="G54" s="7"/>
      <c r="H54" s="295" t="s">
        <v>891</v>
      </c>
      <c r="I54" s="295" t="s">
        <v>893</v>
      </c>
      <c r="J54" s="335" t="s">
        <v>900</v>
      </c>
      <c r="K54" s="8"/>
      <c r="L54" s="6" t="s">
        <v>905</v>
      </c>
      <c r="M54" s="336"/>
      <c r="N54" s="8" t="s">
        <v>906</v>
      </c>
      <c r="O54" s="9" t="s">
        <v>908</v>
      </c>
      <c r="P54" s="329" t="s">
        <v>890</v>
      </c>
      <c r="Q54" s="8"/>
      <c r="R54" s="6" t="s">
        <v>920</v>
      </c>
      <c r="S54" s="7">
        <v>2</v>
      </c>
      <c r="T54" s="7">
        <v>1</v>
      </c>
      <c r="U54" s="7">
        <v>1</v>
      </c>
      <c r="V54" s="10">
        <f t="shared" si="5"/>
        <v>2</v>
      </c>
      <c r="W54" s="7">
        <v>2</v>
      </c>
      <c r="X54" s="7">
        <v>3</v>
      </c>
      <c r="Y54" s="10">
        <f t="shared" si="6"/>
        <v>1</v>
      </c>
      <c r="Z54" s="11">
        <f t="shared" si="7"/>
        <v>2</v>
      </c>
      <c r="AA54" s="6"/>
      <c r="AB54" s="298" t="str">
        <f t="shared" si="8"/>
        <v>CIRQUE</v>
      </c>
      <c r="AC54" s="337" t="str">
        <f t="shared" si="9"/>
        <v>All</v>
      </c>
    </row>
    <row r="55" spans="1:29" ht="15.95" customHeight="1">
      <c r="A55" s="332" t="str">
        <f>Info[[#This Row],[Company]] &amp; "-" &amp; Info[[#This Row],[Department]] &amp; "-" &amp; $I$2 &amp; "-" &amp; TEXT(COUNTIF(INDEX(Info[Department],1):Info[[#This Row],[Department]],Info[[#This Row],[Department]]),"0000")</f>
        <v>CIRQUE-All-Info-0050</v>
      </c>
      <c r="B55" s="333"/>
      <c r="C55" s="334" t="s">
        <v>846</v>
      </c>
      <c r="D55" s="7" t="s">
        <v>887</v>
      </c>
      <c r="E55" s="7"/>
      <c r="F55" s="7"/>
      <c r="G55" s="7"/>
      <c r="H55" s="295" t="s">
        <v>891</v>
      </c>
      <c r="I55" s="295" t="s">
        <v>893</v>
      </c>
      <c r="J55" s="335" t="s">
        <v>900</v>
      </c>
      <c r="K55" s="8"/>
      <c r="L55" s="6" t="s">
        <v>905</v>
      </c>
      <c r="M55" s="336"/>
      <c r="N55" s="8" t="s">
        <v>906</v>
      </c>
      <c r="O55" s="9" t="s">
        <v>908</v>
      </c>
      <c r="P55" s="329" t="s">
        <v>890</v>
      </c>
      <c r="Q55" s="8"/>
      <c r="R55" s="6" t="s">
        <v>920</v>
      </c>
      <c r="S55" s="7">
        <v>2</v>
      </c>
      <c r="T55" s="7">
        <v>1</v>
      </c>
      <c r="U55" s="7">
        <v>1</v>
      </c>
      <c r="V55" s="10">
        <f t="shared" si="5"/>
        <v>2</v>
      </c>
      <c r="W55" s="7">
        <v>2</v>
      </c>
      <c r="X55" s="7">
        <v>3</v>
      </c>
      <c r="Y55" s="10">
        <f t="shared" si="6"/>
        <v>1</v>
      </c>
      <c r="Z55" s="11">
        <f t="shared" si="7"/>
        <v>2</v>
      </c>
      <c r="AA55" s="6"/>
      <c r="AB55" s="298" t="str">
        <f t="shared" si="8"/>
        <v>CIRQUE</v>
      </c>
      <c r="AC55" s="337" t="str">
        <f t="shared" si="9"/>
        <v>All</v>
      </c>
    </row>
    <row r="56" spans="1:29" ht="15.95" customHeight="1">
      <c r="A56" s="332" t="str">
        <f>Info[[#This Row],[Company]] &amp; "-" &amp; Info[[#This Row],[Department]] &amp; "-" &amp; $I$2 &amp; "-" &amp; TEXT(COUNTIF(INDEX(Info[Department],1):Info[[#This Row],[Department]],Info[[#This Row],[Department]]),"0000")</f>
        <v>CIRQUE-All-Info-0051</v>
      </c>
      <c r="B56" s="333"/>
      <c r="C56" s="334" t="s">
        <v>847</v>
      </c>
      <c r="D56" s="7" t="s">
        <v>887</v>
      </c>
      <c r="E56" s="7"/>
      <c r="F56" s="7"/>
      <c r="G56" s="7"/>
      <c r="H56" s="295" t="s">
        <v>891</v>
      </c>
      <c r="I56" s="295" t="s">
        <v>893</v>
      </c>
      <c r="J56" s="335" t="s">
        <v>900</v>
      </c>
      <c r="K56" s="8"/>
      <c r="L56" s="6" t="s">
        <v>905</v>
      </c>
      <c r="M56" s="336"/>
      <c r="N56" s="8" t="s">
        <v>906</v>
      </c>
      <c r="O56" s="9" t="s">
        <v>908</v>
      </c>
      <c r="P56" s="329" t="s">
        <v>890</v>
      </c>
      <c r="Q56" s="8"/>
      <c r="R56" s="6" t="s">
        <v>920</v>
      </c>
      <c r="S56" s="7">
        <v>2</v>
      </c>
      <c r="T56" s="7">
        <v>1</v>
      </c>
      <c r="U56" s="7">
        <v>1</v>
      </c>
      <c r="V56" s="10">
        <f t="shared" si="5"/>
        <v>2</v>
      </c>
      <c r="W56" s="7">
        <v>2</v>
      </c>
      <c r="X56" s="7">
        <v>3</v>
      </c>
      <c r="Y56" s="10">
        <f t="shared" si="6"/>
        <v>1</v>
      </c>
      <c r="Z56" s="11">
        <f t="shared" si="7"/>
        <v>2</v>
      </c>
      <c r="AA56" s="6"/>
      <c r="AB56" s="298" t="str">
        <f t="shared" si="8"/>
        <v>CIRQUE</v>
      </c>
      <c r="AC56" s="337" t="str">
        <f t="shared" si="9"/>
        <v>All</v>
      </c>
    </row>
    <row r="57" spans="1:29" ht="15.95" customHeight="1">
      <c r="A57" s="332" t="str">
        <f>Info[[#This Row],[Company]] &amp; "-" &amp; Info[[#This Row],[Department]] &amp; "-" &amp; $I$2 &amp; "-" &amp; TEXT(COUNTIF(INDEX(Info[Department],1):Info[[#This Row],[Department]],Info[[#This Row],[Department]]),"0000")</f>
        <v>CIRQUE-All-Info-0052</v>
      </c>
      <c r="B57" s="333"/>
      <c r="C57" s="334" t="s">
        <v>848</v>
      </c>
      <c r="D57" s="7" t="s">
        <v>887</v>
      </c>
      <c r="E57" s="7"/>
      <c r="F57" s="7"/>
      <c r="G57" s="7"/>
      <c r="H57" s="295" t="s">
        <v>891</v>
      </c>
      <c r="I57" s="295" t="s">
        <v>893</v>
      </c>
      <c r="J57" s="335" t="s">
        <v>900</v>
      </c>
      <c r="K57" s="8"/>
      <c r="L57" s="6" t="s">
        <v>905</v>
      </c>
      <c r="M57" s="336"/>
      <c r="N57" s="8" t="s">
        <v>906</v>
      </c>
      <c r="O57" s="9" t="s">
        <v>908</v>
      </c>
      <c r="P57" s="329" t="s">
        <v>890</v>
      </c>
      <c r="Q57" s="8"/>
      <c r="R57" s="6" t="s">
        <v>920</v>
      </c>
      <c r="S57" s="7">
        <v>2</v>
      </c>
      <c r="T57" s="7">
        <v>1</v>
      </c>
      <c r="U57" s="7">
        <v>1</v>
      </c>
      <c r="V57" s="10">
        <f t="shared" si="5"/>
        <v>2</v>
      </c>
      <c r="W57" s="7">
        <v>2</v>
      </c>
      <c r="X57" s="7">
        <v>3</v>
      </c>
      <c r="Y57" s="10">
        <f t="shared" si="6"/>
        <v>1</v>
      </c>
      <c r="Z57" s="11">
        <f t="shared" si="7"/>
        <v>2</v>
      </c>
      <c r="AA57" s="6"/>
      <c r="AB57" s="298" t="str">
        <f t="shared" si="8"/>
        <v>CIRQUE</v>
      </c>
      <c r="AC57" s="337" t="str">
        <f t="shared" si="9"/>
        <v>All</v>
      </c>
    </row>
    <row r="58" spans="1:29" ht="15.95" customHeight="1">
      <c r="A58" s="332" t="str">
        <f>Info[[#This Row],[Company]] &amp; "-" &amp; Info[[#This Row],[Department]] &amp; "-" &amp; $I$2 &amp; "-" &amp; TEXT(COUNTIF(INDEX(Info[Department],1):Info[[#This Row],[Department]],Info[[#This Row],[Department]]),"0000")</f>
        <v>CIRQUE-All-Info-0053</v>
      </c>
      <c r="B58" s="333"/>
      <c r="C58" s="334" t="s">
        <v>849</v>
      </c>
      <c r="D58" s="7" t="s">
        <v>887</v>
      </c>
      <c r="E58" s="7"/>
      <c r="F58" s="7"/>
      <c r="G58" s="7"/>
      <c r="H58" s="295" t="s">
        <v>891</v>
      </c>
      <c r="I58" s="295" t="s">
        <v>893</v>
      </c>
      <c r="J58" s="335" t="s">
        <v>900</v>
      </c>
      <c r="K58" s="8"/>
      <c r="L58" s="6" t="s">
        <v>905</v>
      </c>
      <c r="M58" s="336"/>
      <c r="N58" s="8" t="s">
        <v>906</v>
      </c>
      <c r="O58" s="9" t="s">
        <v>908</v>
      </c>
      <c r="P58" s="329" t="s">
        <v>890</v>
      </c>
      <c r="Q58" s="8"/>
      <c r="R58" s="6" t="s">
        <v>920</v>
      </c>
      <c r="S58" s="7">
        <v>2</v>
      </c>
      <c r="T58" s="7">
        <v>1</v>
      </c>
      <c r="U58" s="7">
        <v>1</v>
      </c>
      <c r="V58" s="10">
        <f t="shared" si="5"/>
        <v>2</v>
      </c>
      <c r="W58" s="7">
        <v>2</v>
      </c>
      <c r="X58" s="7">
        <v>3</v>
      </c>
      <c r="Y58" s="10">
        <f t="shared" si="6"/>
        <v>1</v>
      </c>
      <c r="Z58" s="11">
        <f t="shared" si="7"/>
        <v>2</v>
      </c>
      <c r="AA58" s="6"/>
      <c r="AB58" s="298" t="str">
        <f t="shared" si="8"/>
        <v>CIRQUE</v>
      </c>
      <c r="AC58" s="337" t="str">
        <f t="shared" si="9"/>
        <v>All</v>
      </c>
    </row>
    <row r="59" spans="1:29" ht="15.95" customHeight="1">
      <c r="A59" s="332" t="str">
        <f>Info[[#This Row],[Company]] &amp; "-" &amp; Info[[#This Row],[Department]] &amp; "-" &amp; $I$2 &amp; "-" &amp; TEXT(COUNTIF(INDEX(Info[Department],1):Info[[#This Row],[Department]],Info[[#This Row],[Department]]),"0000")</f>
        <v>CIRQUE-All-Info-0054</v>
      </c>
      <c r="B59" s="333"/>
      <c r="C59" s="334" t="s">
        <v>850</v>
      </c>
      <c r="D59" s="7" t="s">
        <v>887</v>
      </c>
      <c r="E59" s="7"/>
      <c r="F59" s="7"/>
      <c r="G59" s="7"/>
      <c r="H59" s="295" t="s">
        <v>891</v>
      </c>
      <c r="I59" s="295" t="s">
        <v>893</v>
      </c>
      <c r="J59" s="335" t="s">
        <v>900</v>
      </c>
      <c r="K59" s="8"/>
      <c r="L59" s="6" t="s">
        <v>905</v>
      </c>
      <c r="M59" s="336"/>
      <c r="N59" s="8" t="s">
        <v>906</v>
      </c>
      <c r="O59" s="9" t="s">
        <v>908</v>
      </c>
      <c r="P59" s="329" t="s">
        <v>890</v>
      </c>
      <c r="Q59" s="8"/>
      <c r="R59" s="6" t="s">
        <v>920</v>
      </c>
      <c r="S59" s="7">
        <v>2</v>
      </c>
      <c r="T59" s="7">
        <v>1</v>
      </c>
      <c r="U59" s="7">
        <v>1</v>
      </c>
      <c r="V59" s="10">
        <f t="shared" si="5"/>
        <v>2</v>
      </c>
      <c r="W59" s="7">
        <v>2</v>
      </c>
      <c r="X59" s="7">
        <v>3</v>
      </c>
      <c r="Y59" s="10">
        <f t="shared" si="6"/>
        <v>1</v>
      </c>
      <c r="Z59" s="11">
        <f t="shared" si="7"/>
        <v>2</v>
      </c>
      <c r="AA59" s="6"/>
      <c r="AB59" s="298" t="str">
        <f t="shared" si="8"/>
        <v>CIRQUE</v>
      </c>
      <c r="AC59" s="337" t="str">
        <f t="shared" si="9"/>
        <v>All</v>
      </c>
    </row>
    <row r="60" spans="1:29" ht="15.95" customHeight="1">
      <c r="A60" s="332" t="str">
        <f>Info[[#This Row],[Company]] &amp; "-" &amp; Info[[#This Row],[Department]] &amp; "-" &amp; $I$2 &amp; "-" &amp; TEXT(COUNTIF(INDEX(Info[Department],1):Info[[#This Row],[Department]],Info[[#This Row],[Department]]),"0000")</f>
        <v>CIRQUE-All-Info-0055</v>
      </c>
      <c r="B60" s="333"/>
      <c r="C60" s="334" t="s">
        <v>851</v>
      </c>
      <c r="D60" s="7" t="s">
        <v>887</v>
      </c>
      <c r="E60" s="7"/>
      <c r="F60" s="7"/>
      <c r="G60" s="7"/>
      <c r="H60" s="295" t="s">
        <v>891</v>
      </c>
      <c r="I60" s="295" t="s">
        <v>893</v>
      </c>
      <c r="J60" s="335" t="s">
        <v>900</v>
      </c>
      <c r="K60" s="8"/>
      <c r="L60" s="6" t="s">
        <v>905</v>
      </c>
      <c r="M60" s="336"/>
      <c r="N60" s="8" t="s">
        <v>906</v>
      </c>
      <c r="O60" s="9" t="s">
        <v>908</v>
      </c>
      <c r="P60" s="329" t="s">
        <v>890</v>
      </c>
      <c r="Q60" s="8"/>
      <c r="R60" s="6" t="s">
        <v>920</v>
      </c>
      <c r="S60" s="7">
        <v>2</v>
      </c>
      <c r="T60" s="7">
        <v>1</v>
      </c>
      <c r="U60" s="7">
        <v>1</v>
      </c>
      <c r="V60" s="10">
        <f t="shared" si="5"/>
        <v>2</v>
      </c>
      <c r="W60" s="7">
        <v>2</v>
      </c>
      <c r="X60" s="7">
        <v>3</v>
      </c>
      <c r="Y60" s="10">
        <f t="shared" si="6"/>
        <v>1</v>
      </c>
      <c r="Z60" s="11">
        <f t="shared" si="7"/>
        <v>2</v>
      </c>
      <c r="AA60" s="6"/>
      <c r="AB60" s="298" t="str">
        <f t="shared" si="8"/>
        <v>CIRQUE</v>
      </c>
      <c r="AC60" s="337" t="str">
        <f t="shared" si="9"/>
        <v>All</v>
      </c>
    </row>
    <row r="61" spans="1:29" ht="15.95" customHeight="1">
      <c r="A61" s="332" t="str">
        <f>Info[[#This Row],[Company]] &amp; "-" &amp; Info[[#This Row],[Department]] &amp; "-" &amp; $I$2 &amp; "-" &amp; TEXT(COUNTIF(INDEX(Info[Department],1):Info[[#This Row],[Department]],Info[[#This Row],[Department]]),"0000")</f>
        <v>CIRQUE-All-Info-0056</v>
      </c>
      <c r="B61" s="333"/>
      <c r="C61" s="334" t="s">
        <v>852</v>
      </c>
      <c r="D61" s="7" t="s">
        <v>887</v>
      </c>
      <c r="E61" s="7"/>
      <c r="F61" s="7"/>
      <c r="G61" s="7"/>
      <c r="H61" s="295" t="s">
        <v>891</v>
      </c>
      <c r="I61" s="295" t="s">
        <v>893</v>
      </c>
      <c r="J61" s="335" t="s">
        <v>900</v>
      </c>
      <c r="K61" s="8"/>
      <c r="L61" s="6" t="s">
        <v>905</v>
      </c>
      <c r="M61" s="336"/>
      <c r="N61" s="8" t="s">
        <v>906</v>
      </c>
      <c r="O61" s="9" t="s">
        <v>908</v>
      </c>
      <c r="P61" s="329" t="s">
        <v>890</v>
      </c>
      <c r="Q61" s="8"/>
      <c r="R61" s="6" t="s">
        <v>920</v>
      </c>
      <c r="S61" s="7">
        <v>2</v>
      </c>
      <c r="T61" s="7">
        <v>1</v>
      </c>
      <c r="U61" s="7">
        <v>1</v>
      </c>
      <c r="V61" s="10">
        <f t="shared" si="5"/>
        <v>2</v>
      </c>
      <c r="W61" s="7">
        <v>2</v>
      </c>
      <c r="X61" s="7">
        <v>3</v>
      </c>
      <c r="Y61" s="10">
        <f t="shared" si="6"/>
        <v>1</v>
      </c>
      <c r="Z61" s="11">
        <f t="shared" si="7"/>
        <v>2</v>
      </c>
      <c r="AA61" s="6"/>
      <c r="AB61" s="298" t="str">
        <f t="shared" si="8"/>
        <v>CIRQUE</v>
      </c>
      <c r="AC61" s="337" t="str">
        <f t="shared" si="9"/>
        <v>All</v>
      </c>
    </row>
    <row r="62" spans="1:29" ht="15.95" customHeight="1">
      <c r="A62" s="332" t="str">
        <f>Info[[#This Row],[Company]] &amp; "-" &amp; Info[[#This Row],[Department]] &amp; "-" &amp; $I$2 &amp; "-" &amp; TEXT(COUNTIF(INDEX(Info[Department],1):Info[[#This Row],[Department]],Info[[#This Row],[Department]]),"0000")</f>
        <v>CIRQUE-All-Info-0057</v>
      </c>
      <c r="B62" s="333"/>
      <c r="C62" s="334" t="s">
        <v>853</v>
      </c>
      <c r="D62" s="7" t="s">
        <v>887</v>
      </c>
      <c r="E62" s="7"/>
      <c r="F62" s="7"/>
      <c r="G62" s="7"/>
      <c r="H62" s="295" t="s">
        <v>891</v>
      </c>
      <c r="I62" s="295" t="s">
        <v>893</v>
      </c>
      <c r="J62" s="335" t="s">
        <v>900</v>
      </c>
      <c r="K62" s="8"/>
      <c r="L62" s="6" t="s">
        <v>905</v>
      </c>
      <c r="M62" s="336"/>
      <c r="N62" s="8" t="s">
        <v>906</v>
      </c>
      <c r="O62" s="9" t="s">
        <v>908</v>
      </c>
      <c r="P62" s="329" t="s">
        <v>890</v>
      </c>
      <c r="Q62" s="8"/>
      <c r="R62" s="6" t="s">
        <v>920</v>
      </c>
      <c r="S62" s="7">
        <v>2</v>
      </c>
      <c r="T62" s="7">
        <v>1</v>
      </c>
      <c r="U62" s="7">
        <v>1</v>
      </c>
      <c r="V62" s="10">
        <f t="shared" si="5"/>
        <v>2</v>
      </c>
      <c r="W62" s="7">
        <v>2</v>
      </c>
      <c r="X62" s="7">
        <v>3</v>
      </c>
      <c r="Y62" s="10">
        <f t="shared" si="6"/>
        <v>1</v>
      </c>
      <c r="Z62" s="11">
        <f t="shared" si="7"/>
        <v>2</v>
      </c>
      <c r="AA62" s="6"/>
      <c r="AB62" s="298" t="str">
        <f t="shared" si="8"/>
        <v>CIRQUE</v>
      </c>
      <c r="AC62" s="337" t="str">
        <f t="shared" si="9"/>
        <v>All</v>
      </c>
    </row>
    <row r="63" spans="1:29" ht="15.95" customHeight="1">
      <c r="A63" s="332" t="str">
        <f>Info[[#This Row],[Company]] &amp; "-" &amp; Info[[#This Row],[Department]] &amp; "-" &amp; $I$2 &amp; "-" &amp; TEXT(COUNTIF(INDEX(Info[Department],1):Info[[#This Row],[Department]],Info[[#This Row],[Department]]),"0000")</f>
        <v>CIRQUE-All-Info-0058</v>
      </c>
      <c r="B63" s="333"/>
      <c r="C63" s="334" t="s">
        <v>854</v>
      </c>
      <c r="D63" s="7" t="s">
        <v>887</v>
      </c>
      <c r="E63" s="7"/>
      <c r="F63" s="7"/>
      <c r="G63" s="7"/>
      <c r="H63" s="295" t="s">
        <v>891</v>
      </c>
      <c r="I63" s="295" t="s">
        <v>893</v>
      </c>
      <c r="J63" s="335" t="s">
        <v>900</v>
      </c>
      <c r="K63" s="8"/>
      <c r="L63" s="6" t="s">
        <v>905</v>
      </c>
      <c r="M63" s="336"/>
      <c r="N63" s="8" t="s">
        <v>906</v>
      </c>
      <c r="O63" s="9" t="s">
        <v>908</v>
      </c>
      <c r="P63" s="329" t="s">
        <v>890</v>
      </c>
      <c r="Q63" s="8"/>
      <c r="R63" s="6" t="s">
        <v>920</v>
      </c>
      <c r="S63" s="7">
        <v>2</v>
      </c>
      <c r="T63" s="7">
        <v>1</v>
      </c>
      <c r="U63" s="7">
        <v>1</v>
      </c>
      <c r="V63" s="10">
        <f t="shared" si="5"/>
        <v>2</v>
      </c>
      <c r="W63" s="7">
        <v>2</v>
      </c>
      <c r="X63" s="7">
        <v>3</v>
      </c>
      <c r="Y63" s="10">
        <f t="shared" si="6"/>
        <v>1</v>
      </c>
      <c r="Z63" s="11">
        <f t="shared" si="7"/>
        <v>2</v>
      </c>
      <c r="AA63" s="6"/>
      <c r="AB63" s="298" t="str">
        <f t="shared" si="8"/>
        <v>CIRQUE</v>
      </c>
      <c r="AC63" s="337" t="str">
        <f t="shared" si="9"/>
        <v>All</v>
      </c>
    </row>
    <row r="64" spans="1:29" ht="15.95" customHeight="1">
      <c r="A64" s="332" t="str">
        <f>Info[[#This Row],[Company]] &amp; "-" &amp; Info[[#This Row],[Department]] &amp; "-" &amp; $I$2 &amp; "-" &amp; TEXT(COUNTIF(INDEX(Info[Department],1):Info[[#This Row],[Department]],Info[[#This Row],[Department]]),"0000")</f>
        <v>CIRQUE-All-Info-0059</v>
      </c>
      <c r="B64" s="333"/>
      <c r="C64" s="334" t="s">
        <v>855</v>
      </c>
      <c r="D64" s="7" t="s">
        <v>887</v>
      </c>
      <c r="E64" s="7"/>
      <c r="F64" s="7"/>
      <c r="G64" s="7"/>
      <c r="H64" s="295" t="s">
        <v>891</v>
      </c>
      <c r="I64" s="295" t="s">
        <v>893</v>
      </c>
      <c r="J64" s="335" t="s">
        <v>900</v>
      </c>
      <c r="K64" s="8"/>
      <c r="L64" s="6" t="s">
        <v>905</v>
      </c>
      <c r="M64" s="336"/>
      <c r="N64" s="8" t="s">
        <v>906</v>
      </c>
      <c r="O64" s="9" t="s">
        <v>908</v>
      </c>
      <c r="P64" s="329" t="s">
        <v>890</v>
      </c>
      <c r="Q64" s="8"/>
      <c r="R64" s="6" t="s">
        <v>920</v>
      </c>
      <c r="S64" s="7">
        <v>2</v>
      </c>
      <c r="T64" s="7">
        <v>1</v>
      </c>
      <c r="U64" s="7">
        <v>1</v>
      </c>
      <c r="V64" s="10">
        <f t="shared" si="5"/>
        <v>2</v>
      </c>
      <c r="W64" s="7">
        <v>2</v>
      </c>
      <c r="X64" s="7">
        <v>3</v>
      </c>
      <c r="Y64" s="10">
        <f t="shared" si="6"/>
        <v>1</v>
      </c>
      <c r="Z64" s="11">
        <f t="shared" si="7"/>
        <v>2</v>
      </c>
      <c r="AA64" s="6"/>
      <c r="AB64" s="298" t="str">
        <f t="shared" si="8"/>
        <v>CIRQUE</v>
      </c>
      <c r="AC64" s="337" t="str">
        <f t="shared" si="9"/>
        <v>All</v>
      </c>
    </row>
    <row r="65" spans="1:29" ht="15.95" customHeight="1">
      <c r="A65" s="332" t="str">
        <f>Info[[#This Row],[Company]] &amp; "-" &amp; Info[[#This Row],[Department]] &amp; "-" &amp; $I$2 &amp; "-" &amp; TEXT(COUNTIF(INDEX(Info[Department],1):Info[[#This Row],[Department]],Info[[#This Row],[Department]]),"0000")</f>
        <v>CIRQUE-All-Info-0060</v>
      </c>
      <c r="B65" s="333"/>
      <c r="C65" s="334" t="s">
        <v>856</v>
      </c>
      <c r="D65" s="7" t="s">
        <v>887</v>
      </c>
      <c r="E65" s="7"/>
      <c r="F65" s="7"/>
      <c r="G65" s="7"/>
      <c r="H65" s="295" t="s">
        <v>891</v>
      </c>
      <c r="I65" s="295" t="s">
        <v>893</v>
      </c>
      <c r="J65" s="335" t="s">
        <v>900</v>
      </c>
      <c r="K65" s="8"/>
      <c r="L65" s="6" t="s">
        <v>905</v>
      </c>
      <c r="M65" s="336"/>
      <c r="N65" s="8" t="s">
        <v>906</v>
      </c>
      <c r="O65" s="9" t="s">
        <v>908</v>
      </c>
      <c r="P65" s="329" t="s">
        <v>890</v>
      </c>
      <c r="Q65" s="8"/>
      <c r="R65" s="6" t="s">
        <v>920</v>
      </c>
      <c r="S65" s="7">
        <v>2</v>
      </c>
      <c r="T65" s="7">
        <v>1</v>
      </c>
      <c r="U65" s="7">
        <v>1</v>
      </c>
      <c r="V65" s="10">
        <f t="shared" si="5"/>
        <v>2</v>
      </c>
      <c r="W65" s="7">
        <v>2</v>
      </c>
      <c r="X65" s="7">
        <v>3</v>
      </c>
      <c r="Y65" s="10">
        <f t="shared" si="6"/>
        <v>1</v>
      </c>
      <c r="Z65" s="11">
        <f t="shared" si="7"/>
        <v>2</v>
      </c>
      <c r="AA65" s="6"/>
      <c r="AB65" s="298" t="str">
        <f t="shared" si="8"/>
        <v>CIRQUE</v>
      </c>
      <c r="AC65" s="337" t="str">
        <f t="shared" si="9"/>
        <v>All</v>
      </c>
    </row>
    <row r="66" spans="1:29" ht="15.95" customHeight="1">
      <c r="A66" s="332" t="str">
        <f>Info[[#This Row],[Company]] &amp; "-" &amp; Info[[#This Row],[Department]] &amp; "-" &amp; $I$2 &amp; "-" &amp; TEXT(COUNTIF(INDEX(Info[Department],1):Info[[#This Row],[Department]],Info[[#This Row],[Department]]),"0000")</f>
        <v>CIRQUE-All-Info-0061</v>
      </c>
      <c r="B66" s="333"/>
      <c r="C66" s="334" t="s">
        <v>857</v>
      </c>
      <c r="D66" s="7" t="s">
        <v>887</v>
      </c>
      <c r="E66" s="7"/>
      <c r="F66" s="7"/>
      <c r="G66" s="7"/>
      <c r="H66" s="295" t="s">
        <v>891</v>
      </c>
      <c r="I66" s="295" t="s">
        <v>893</v>
      </c>
      <c r="J66" s="335" t="s">
        <v>900</v>
      </c>
      <c r="K66" s="8"/>
      <c r="L66" s="6" t="s">
        <v>905</v>
      </c>
      <c r="M66" s="336"/>
      <c r="N66" s="8" t="s">
        <v>906</v>
      </c>
      <c r="O66" s="9" t="s">
        <v>908</v>
      </c>
      <c r="P66" s="329" t="s">
        <v>890</v>
      </c>
      <c r="Q66" s="8"/>
      <c r="R66" s="6" t="s">
        <v>920</v>
      </c>
      <c r="S66" s="7">
        <v>2</v>
      </c>
      <c r="T66" s="7">
        <v>1</v>
      </c>
      <c r="U66" s="7">
        <v>1</v>
      </c>
      <c r="V66" s="10">
        <f t="shared" si="5"/>
        <v>2</v>
      </c>
      <c r="W66" s="7">
        <v>2</v>
      </c>
      <c r="X66" s="7">
        <v>3</v>
      </c>
      <c r="Y66" s="10">
        <f t="shared" si="6"/>
        <v>1</v>
      </c>
      <c r="Z66" s="11">
        <f t="shared" si="7"/>
        <v>2</v>
      </c>
      <c r="AA66" s="6"/>
      <c r="AB66" s="298" t="str">
        <f t="shared" si="8"/>
        <v>CIRQUE</v>
      </c>
      <c r="AC66" s="337" t="str">
        <f t="shared" si="9"/>
        <v>All</v>
      </c>
    </row>
    <row r="67" spans="1:29" ht="15.95" customHeight="1">
      <c r="A67" s="332" t="str">
        <f>Info[[#This Row],[Company]] &amp; "-" &amp; Info[[#This Row],[Department]] &amp; "-" &amp; $I$2 &amp; "-" &amp; TEXT(COUNTIF(INDEX(Info[Department],1):Info[[#This Row],[Department]],Info[[#This Row],[Department]]),"0000")</f>
        <v>CIRQUE-All-Info-0062</v>
      </c>
      <c r="B67" s="333"/>
      <c r="C67" s="334" t="s">
        <v>858</v>
      </c>
      <c r="D67" s="7" t="s">
        <v>887</v>
      </c>
      <c r="E67" s="7"/>
      <c r="F67" s="7"/>
      <c r="G67" s="7"/>
      <c r="H67" s="295" t="s">
        <v>891</v>
      </c>
      <c r="I67" s="295" t="s">
        <v>893</v>
      </c>
      <c r="J67" s="335" t="s">
        <v>900</v>
      </c>
      <c r="K67" s="8"/>
      <c r="L67" s="6" t="s">
        <v>905</v>
      </c>
      <c r="M67" s="336"/>
      <c r="N67" s="8" t="s">
        <v>906</v>
      </c>
      <c r="O67" s="9" t="s">
        <v>908</v>
      </c>
      <c r="P67" s="329" t="s">
        <v>890</v>
      </c>
      <c r="Q67" s="8"/>
      <c r="R67" s="6" t="s">
        <v>920</v>
      </c>
      <c r="S67" s="7">
        <v>2</v>
      </c>
      <c r="T67" s="7">
        <v>1</v>
      </c>
      <c r="U67" s="7">
        <v>1</v>
      </c>
      <c r="V67" s="10">
        <f t="shared" si="5"/>
        <v>2</v>
      </c>
      <c r="W67" s="7">
        <v>2</v>
      </c>
      <c r="X67" s="7">
        <v>3</v>
      </c>
      <c r="Y67" s="10">
        <f t="shared" si="6"/>
        <v>1</v>
      </c>
      <c r="Z67" s="11">
        <f t="shared" si="7"/>
        <v>2</v>
      </c>
      <c r="AA67" s="6"/>
      <c r="AB67" s="298" t="str">
        <f t="shared" si="8"/>
        <v>CIRQUE</v>
      </c>
      <c r="AC67" s="337" t="str">
        <f t="shared" si="9"/>
        <v>All</v>
      </c>
    </row>
    <row r="68" spans="1:29" ht="15.95" customHeight="1">
      <c r="A68" s="332" t="str">
        <f>Info[[#This Row],[Company]] &amp; "-" &amp; Info[[#This Row],[Department]] &amp; "-" &amp; $I$2 &amp; "-" &amp; TEXT(COUNTIF(INDEX(Info[Department],1):Info[[#This Row],[Department]],Info[[#This Row],[Department]]),"0000")</f>
        <v>CIRQUE-All-Info-0063</v>
      </c>
      <c r="B68" s="333"/>
      <c r="C68" s="334" t="s">
        <v>859</v>
      </c>
      <c r="D68" s="7" t="s">
        <v>887</v>
      </c>
      <c r="E68" s="7"/>
      <c r="F68" s="7"/>
      <c r="G68" s="7"/>
      <c r="H68" s="295" t="s">
        <v>891</v>
      </c>
      <c r="I68" s="295" t="s">
        <v>893</v>
      </c>
      <c r="J68" s="335" t="s">
        <v>900</v>
      </c>
      <c r="K68" s="8"/>
      <c r="L68" s="6" t="s">
        <v>905</v>
      </c>
      <c r="M68" s="336"/>
      <c r="N68" s="8" t="s">
        <v>906</v>
      </c>
      <c r="O68" s="9" t="s">
        <v>908</v>
      </c>
      <c r="P68" s="329" t="s">
        <v>890</v>
      </c>
      <c r="Q68" s="8"/>
      <c r="R68" s="6" t="s">
        <v>920</v>
      </c>
      <c r="S68" s="7">
        <v>2</v>
      </c>
      <c r="T68" s="7">
        <v>1</v>
      </c>
      <c r="U68" s="7">
        <v>1</v>
      </c>
      <c r="V68" s="10">
        <f t="shared" si="5"/>
        <v>2</v>
      </c>
      <c r="W68" s="7">
        <v>2</v>
      </c>
      <c r="X68" s="7">
        <v>3</v>
      </c>
      <c r="Y68" s="10">
        <f t="shared" si="6"/>
        <v>1</v>
      </c>
      <c r="Z68" s="11">
        <f t="shared" si="7"/>
        <v>2</v>
      </c>
      <c r="AA68" s="6"/>
      <c r="AB68" s="298" t="str">
        <f t="shared" si="8"/>
        <v>CIRQUE</v>
      </c>
      <c r="AC68" s="337" t="str">
        <f t="shared" si="9"/>
        <v>All</v>
      </c>
    </row>
    <row r="69" spans="1:29" ht="15.95" customHeight="1">
      <c r="A69" s="332" t="str">
        <f>Info[[#This Row],[Company]] &amp; "-" &amp; Info[[#This Row],[Department]] &amp; "-" &amp; $I$2 &amp; "-" &amp; TEXT(COUNTIF(INDEX(Info[Department],1):Info[[#This Row],[Department]],Info[[#This Row],[Department]]),"0000")</f>
        <v>CIRQUE-All-Info-0064</v>
      </c>
      <c r="B69" s="333"/>
      <c r="C69" s="334" t="s">
        <v>860</v>
      </c>
      <c r="D69" s="7" t="s">
        <v>887</v>
      </c>
      <c r="E69" s="7"/>
      <c r="F69" s="7"/>
      <c r="G69" s="7"/>
      <c r="H69" s="295" t="s">
        <v>891</v>
      </c>
      <c r="I69" s="295" t="s">
        <v>893</v>
      </c>
      <c r="J69" s="335" t="s">
        <v>900</v>
      </c>
      <c r="K69" s="8"/>
      <c r="L69" s="6" t="s">
        <v>905</v>
      </c>
      <c r="M69" s="336"/>
      <c r="N69" s="8" t="s">
        <v>906</v>
      </c>
      <c r="O69" s="9" t="s">
        <v>908</v>
      </c>
      <c r="P69" s="329" t="s">
        <v>890</v>
      </c>
      <c r="Q69" s="8"/>
      <c r="R69" s="6" t="s">
        <v>920</v>
      </c>
      <c r="S69" s="7">
        <v>2</v>
      </c>
      <c r="T69" s="7">
        <v>1</v>
      </c>
      <c r="U69" s="7">
        <v>1</v>
      </c>
      <c r="V69" s="10">
        <f t="shared" si="5"/>
        <v>2</v>
      </c>
      <c r="W69" s="7">
        <v>2</v>
      </c>
      <c r="X69" s="7">
        <v>3</v>
      </c>
      <c r="Y69" s="10">
        <f t="shared" si="6"/>
        <v>1</v>
      </c>
      <c r="Z69" s="11">
        <f t="shared" si="7"/>
        <v>2</v>
      </c>
      <c r="AA69" s="6"/>
      <c r="AB69" s="298" t="str">
        <f t="shared" si="8"/>
        <v>CIRQUE</v>
      </c>
      <c r="AC69" s="337" t="str">
        <f t="shared" si="9"/>
        <v>All</v>
      </c>
    </row>
    <row r="70" spans="1:29" ht="15.95" customHeight="1">
      <c r="A70" s="332" t="str">
        <f>Info[[#This Row],[Company]] &amp; "-" &amp; Info[[#This Row],[Department]] &amp; "-" &amp; $I$2 &amp; "-" &amp; TEXT(COUNTIF(INDEX(Info[Department],1):Info[[#This Row],[Department]],Info[[#This Row],[Department]]),"0000")</f>
        <v>CIRQUE-All-Info-0065</v>
      </c>
      <c r="B70" s="333"/>
      <c r="C70" s="334" t="s">
        <v>861</v>
      </c>
      <c r="D70" s="7" t="s">
        <v>887</v>
      </c>
      <c r="E70" s="7"/>
      <c r="F70" s="7"/>
      <c r="G70" s="7"/>
      <c r="H70" s="295" t="s">
        <v>891</v>
      </c>
      <c r="I70" s="295" t="s">
        <v>893</v>
      </c>
      <c r="J70" s="335" t="s">
        <v>900</v>
      </c>
      <c r="K70" s="8"/>
      <c r="L70" s="6" t="s">
        <v>905</v>
      </c>
      <c r="M70" s="336"/>
      <c r="N70" s="8" t="s">
        <v>906</v>
      </c>
      <c r="O70" s="9" t="s">
        <v>908</v>
      </c>
      <c r="P70" s="329" t="s">
        <v>890</v>
      </c>
      <c r="Q70" s="8"/>
      <c r="R70" s="6" t="s">
        <v>920</v>
      </c>
      <c r="S70" s="7">
        <v>2</v>
      </c>
      <c r="T70" s="7">
        <v>1</v>
      </c>
      <c r="U70" s="7">
        <v>1</v>
      </c>
      <c r="V70" s="10">
        <f t="shared" si="5"/>
        <v>2</v>
      </c>
      <c r="W70" s="7">
        <v>2</v>
      </c>
      <c r="X70" s="7">
        <v>3</v>
      </c>
      <c r="Y70" s="10">
        <f t="shared" si="6"/>
        <v>1</v>
      </c>
      <c r="Z70" s="11">
        <f t="shared" si="7"/>
        <v>2</v>
      </c>
      <c r="AA70" s="6"/>
      <c r="AB70" s="298" t="str">
        <f t="shared" si="8"/>
        <v>CIRQUE</v>
      </c>
      <c r="AC70" s="337" t="str">
        <f t="shared" si="9"/>
        <v>All</v>
      </c>
    </row>
    <row r="71" spans="1:29" ht="15.95" customHeight="1">
      <c r="A71" s="332" t="str">
        <f>Info[[#This Row],[Company]] &amp; "-" &amp; Info[[#This Row],[Department]] &amp; "-" &amp; $I$2 &amp; "-" &amp; TEXT(COUNTIF(INDEX(Info[Department],1):Info[[#This Row],[Department]],Info[[#This Row],[Department]]),"0000")</f>
        <v>CIRQUE-All-Info-0066</v>
      </c>
      <c r="B71" s="333"/>
      <c r="C71" s="334" t="s">
        <v>862</v>
      </c>
      <c r="D71" s="7" t="s">
        <v>887</v>
      </c>
      <c r="E71" s="7"/>
      <c r="F71" s="7"/>
      <c r="G71" s="7"/>
      <c r="H71" s="295" t="s">
        <v>891</v>
      </c>
      <c r="I71" s="295" t="s">
        <v>893</v>
      </c>
      <c r="J71" s="335" t="s">
        <v>900</v>
      </c>
      <c r="K71" s="8"/>
      <c r="L71" s="6" t="s">
        <v>905</v>
      </c>
      <c r="M71" s="336"/>
      <c r="N71" s="8" t="s">
        <v>906</v>
      </c>
      <c r="O71" s="9" t="s">
        <v>908</v>
      </c>
      <c r="P71" s="329" t="s">
        <v>890</v>
      </c>
      <c r="Q71" s="8"/>
      <c r="R71" s="6" t="s">
        <v>920</v>
      </c>
      <c r="S71" s="7">
        <v>2</v>
      </c>
      <c r="T71" s="7">
        <v>1</v>
      </c>
      <c r="U71" s="7">
        <v>1</v>
      </c>
      <c r="V71" s="10">
        <f t="shared" ref="V71:V95" si="10">MAX(S71:U160)</f>
        <v>2</v>
      </c>
      <c r="W71" s="7">
        <v>2</v>
      </c>
      <c r="X71" s="7">
        <v>3</v>
      </c>
      <c r="Y71" s="10">
        <f t="shared" ref="Y71:Y95" si="11">MAXA(W71-X71,1)</f>
        <v>1</v>
      </c>
      <c r="Z71" s="11">
        <f t="shared" ref="Z71:Z95" si="12">V71*Y71</f>
        <v>2</v>
      </c>
      <c r="AA71" s="6"/>
      <c r="AB71" s="298" t="str">
        <f t="shared" ref="AB71:AB95" si="13">$F$2</f>
        <v>CIRQUE</v>
      </c>
      <c r="AC71" s="337" t="str">
        <f t="shared" ref="AC71:AC95" si="14">$H$2</f>
        <v>All</v>
      </c>
    </row>
    <row r="72" spans="1:29" ht="15.95" customHeight="1">
      <c r="A72" s="332" t="str">
        <f>Info[[#This Row],[Company]] &amp; "-" &amp; Info[[#This Row],[Department]] &amp; "-" &amp; $I$2 &amp; "-" &amp; TEXT(COUNTIF(INDEX(Info[Department],1):Info[[#This Row],[Department]],Info[[#This Row],[Department]]),"0000")</f>
        <v>CIRQUE-All-Info-0067</v>
      </c>
      <c r="B72" s="333"/>
      <c r="C72" s="334" t="s">
        <v>863</v>
      </c>
      <c r="D72" s="7" t="s">
        <v>887</v>
      </c>
      <c r="E72" s="7"/>
      <c r="F72" s="7"/>
      <c r="G72" s="7"/>
      <c r="H72" s="295" t="s">
        <v>891</v>
      </c>
      <c r="I72" s="295" t="s">
        <v>893</v>
      </c>
      <c r="J72" s="335" t="s">
        <v>900</v>
      </c>
      <c r="K72" s="8"/>
      <c r="L72" s="6" t="s">
        <v>905</v>
      </c>
      <c r="M72" s="336"/>
      <c r="N72" s="8" t="s">
        <v>906</v>
      </c>
      <c r="O72" s="9" t="s">
        <v>908</v>
      </c>
      <c r="P72" s="329" t="s">
        <v>890</v>
      </c>
      <c r="Q72" s="8"/>
      <c r="R72" s="6" t="s">
        <v>920</v>
      </c>
      <c r="S72" s="7">
        <v>2</v>
      </c>
      <c r="T72" s="7">
        <v>1</v>
      </c>
      <c r="U72" s="7">
        <v>1</v>
      </c>
      <c r="V72" s="10">
        <f t="shared" si="10"/>
        <v>2</v>
      </c>
      <c r="W72" s="7">
        <v>2</v>
      </c>
      <c r="X72" s="7">
        <v>3</v>
      </c>
      <c r="Y72" s="10">
        <f t="shared" si="11"/>
        <v>1</v>
      </c>
      <c r="Z72" s="11">
        <f t="shared" si="12"/>
        <v>2</v>
      </c>
      <c r="AA72" s="6"/>
      <c r="AB72" s="298" t="str">
        <f t="shared" si="13"/>
        <v>CIRQUE</v>
      </c>
      <c r="AC72" s="337" t="str">
        <f t="shared" si="14"/>
        <v>All</v>
      </c>
    </row>
    <row r="73" spans="1:29" ht="15.95" customHeight="1">
      <c r="A73" s="332" t="str">
        <f>Info[[#This Row],[Company]] &amp; "-" &amp; Info[[#This Row],[Department]] &amp; "-" &amp; $I$2 &amp; "-" &amp; TEXT(COUNTIF(INDEX(Info[Department],1):Info[[#This Row],[Department]],Info[[#This Row],[Department]]),"0000")</f>
        <v>CIRQUE-All-Info-0068</v>
      </c>
      <c r="B73" s="333"/>
      <c r="C73" s="334" t="s">
        <v>864</v>
      </c>
      <c r="D73" s="7" t="s">
        <v>887</v>
      </c>
      <c r="E73" s="7"/>
      <c r="F73" s="7"/>
      <c r="G73" s="7"/>
      <c r="H73" s="295" t="s">
        <v>891</v>
      </c>
      <c r="I73" s="295" t="s">
        <v>893</v>
      </c>
      <c r="J73" s="335" t="s">
        <v>900</v>
      </c>
      <c r="K73" s="8"/>
      <c r="L73" s="6" t="s">
        <v>905</v>
      </c>
      <c r="M73" s="336"/>
      <c r="N73" s="8" t="s">
        <v>906</v>
      </c>
      <c r="O73" s="9" t="s">
        <v>908</v>
      </c>
      <c r="P73" s="329" t="s">
        <v>890</v>
      </c>
      <c r="Q73" s="8"/>
      <c r="R73" s="6" t="s">
        <v>920</v>
      </c>
      <c r="S73" s="7">
        <v>2</v>
      </c>
      <c r="T73" s="7">
        <v>1</v>
      </c>
      <c r="U73" s="7">
        <v>1</v>
      </c>
      <c r="V73" s="10">
        <f t="shared" si="10"/>
        <v>2</v>
      </c>
      <c r="W73" s="7">
        <v>2</v>
      </c>
      <c r="X73" s="7">
        <v>3</v>
      </c>
      <c r="Y73" s="10">
        <f t="shared" si="11"/>
        <v>1</v>
      </c>
      <c r="Z73" s="11">
        <f t="shared" si="12"/>
        <v>2</v>
      </c>
      <c r="AA73" s="6"/>
      <c r="AB73" s="298" t="str">
        <f t="shared" si="13"/>
        <v>CIRQUE</v>
      </c>
      <c r="AC73" s="337" t="str">
        <f t="shared" si="14"/>
        <v>All</v>
      </c>
    </row>
    <row r="74" spans="1:29" ht="15.95" customHeight="1">
      <c r="A74" s="332" t="str">
        <f>Info[[#This Row],[Company]] &amp; "-" &amp; Info[[#This Row],[Department]] &amp; "-" &amp; $I$2 &amp; "-" &amp; TEXT(COUNTIF(INDEX(Info[Department],1):Info[[#This Row],[Department]],Info[[#This Row],[Department]]),"0000")</f>
        <v>CIRQUE-All-Info-0069</v>
      </c>
      <c r="B74" s="333"/>
      <c r="C74" s="334" t="s">
        <v>865</v>
      </c>
      <c r="D74" s="7" t="s">
        <v>887</v>
      </c>
      <c r="E74" s="7"/>
      <c r="F74" s="7"/>
      <c r="G74" s="7"/>
      <c r="H74" s="295" t="s">
        <v>891</v>
      </c>
      <c r="I74" s="295" t="s">
        <v>893</v>
      </c>
      <c r="J74" s="335" t="s">
        <v>900</v>
      </c>
      <c r="K74" s="8"/>
      <c r="L74" s="6" t="s">
        <v>905</v>
      </c>
      <c r="M74" s="336"/>
      <c r="N74" s="8" t="s">
        <v>906</v>
      </c>
      <c r="O74" s="9" t="s">
        <v>908</v>
      </c>
      <c r="P74" s="329" t="s">
        <v>890</v>
      </c>
      <c r="Q74" s="8"/>
      <c r="R74" s="6" t="s">
        <v>920</v>
      </c>
      <c r="S74" s="7">
        <v>2</v>
      </c>
      <c r="T74" s="7">
        <v>1</v>
      </c>
      <c r="U74" s="7">
        <v>1</v>
      </c>
      <c r="V74" s="10">
        <f t="shared" si="10"/>
        <v>2</v>
      </c>
      <c r="W74" s="7">
        <v>2</v>
      </c>
      <c r="X74" s="7">
        <v>3</v>
      </c>
      <c r="Y74" s="10">
        <f t="shared" si="11"/>
        <v>1</v>
      </c>
      <c r="Z74" s="11">
        <f t="shared" si="12"/>
        <v>2</v>
      </c>
      <c r="AA74" s="6"/>
      <c r="AB74" s="298" t="str">
        <f t="shared" si="13"/>
        <v>CIRQUE</v>
      </c>
      <c r="AC74" s="337" t="str">
        <f t="shared" si="14"/>
        <v>All</v>
      </c>
    </row>
    <row r="75" spans="1:29" ht="15.95" customHeight="1">
      <c r="A75" s="332" t="str">
        <f>Info[[#This Row],[Company]] &amp; "-" &amp; Info[[#This Row],[Department]] &amp; "-" &amp; $I$2 &amp; "-" &amp; TEXT(COUNTIF(INDEX(Info[Department],1):Info[[#This Row],[Department]],Info[[#This Row],[Department]]),"0000")</f>
        <v>CIRQUE-All-Info-0070</v>
      </c>
      <c r="B75" s="333"/>
      <c r="C75" s="334" t="s">
        <v>866</v>
      </c>
      <c r="D75" s="7" t="s">
        <v>887</v>
      </c>
      <c r="E75" s="7"/>
      <c r="F75" s="7"/>
      <c r="G75" s="7"/>
      <c r="H75" s="295" t="s">
        <v>891</v>
      </c>
      <c r="I75" s="295" t="s">
        <v>893</v>
      </c>
      <c r="J75" s="335" t="s">
        <v>900</v>
      </c>
      <c r="K75" s="8"/>
      <c r="L75" s="6" t="s">
        <v>905</v>
      </c>
      <c r="M75" s="336"/>
      <c r="N75" s="8" t="s">
        <v>906</v>
      </c>
      <c r="O75" s="9" t="s">
        <v>908</v>
      </c>
      <c r="P75" s="329" t="s">
        <v>890</v>
      </c>
      <c r="Q75" s="8"/>
      <c r="R75" s="6" t="s">
        <v>920</v>
      </c>
      <c r="S75" s="7">
        <v>2</v>
      </c>
      <c r="T75" s="7">
        <v>1</v>
      </c>
      <c r="U75" s="7">
        <v>1</v>
      </c>
      <c r="V75" s="10">
        <f t="shared" si="10"/>
        <v>2</v>
      </c>
      <c r="W75" s="7">
        <v>2</v>
      </c>
      <c r="X75" s="7">
        <v>3</v>
      </c>
      <c r="Y75" s="10">
        <f t="shared" si="11"/>
        <v>1</v>
      </c>
      <c r="Z75" s="11">
        <f t="shared" si="12"/>
        <v>2</v>
      </c>
      <c r="AA75" s="6"/>
      <c r="AB75" s="298" t="str">
        <f t="shared" si="13"/>
        <v>CIRQUE</v>
      </c>
      <c r="AC75" s="337" t="str">
        <f t="shared" si="14"/>
        <v>All</v>
      </c>
    </row>
    <row r="76" spans="1:29" ht="15.95" customHeight="1">
      <c r="A76" s="332" t="str">
        <f>Info[[#This Row],[Company]] &amp; "-" &amp; Info[[#This Row],[Department]] &amp; "-" &amp; $I$2 &amp; "-" &amp; TEXT(COUNTIF(INDEX(Info[Department],1):Info[[#This Row],[Department]],Info[[#This Row],[Department]]),"0000")</f>
        <v>CIRQUE-All-Info-0071</v>
      </c>
      <c r="B76" s="333"/>
      <c r="C76" s="334" t="s">
        <v>867</v>
      </c>
      <c r="D76" s="7" t="s">
        <v>887</v>
      </c>
      <c r="E76" s="7"/>
      <c r="F76" s="7"/>
      <c r="G76" s="7"/>
      <c r="H76" s="295" t="s">
        <v>891</v>
      </c>
      <c r="I76" s="295" t="s">
        <v>893</v>
      </c>
      <c r="J76" s="335" t="s">
        <v>900</v>
      </c>
      <c r="K76" s="8"/>
      <c r="L76" s="6" t="s">
        <v>905</v>
      </c>
      <c r="M76" s="336"/>
      <c r="N76" s="8" t="s">
        <v>906</v>
      </c>
      <c r="O76" s="9" t="s">
        <v>908</v>
      </c>
      <c r="P76" s="329" t="s">
        <v>890</v>
      </c>
      <c r="Q76" s="8"/>
      <c r="R76" s="6" t="s">
        <v>920</v>
      </c>
      <c r="S76" s="7">
        <v>2</v>
      </c>
      <c r="T76" s="7">
        <v>1</v>
      </c>
      <c r="U76" s="7">
        <v>1</v>
      </c>
      <c r="V76" s="10">
        <f t="shared" si="10"/>
        <v>2</v>
      </c>
      <c r="W76" s="7">
        <v>2</v>
      </c>
      <c r="X76" s="7">
        <v>3</v>
      </c>
      <c r="Y76" s="10">
        <f t="shared" si="11"/>
        <v>1</v>
      </c>
      <c r="Z76" s="11">
        <f t="shared" si="12"/>
        <v>2</v>
      </c>
      <c r="AA76" s="6"/>
      <c r="AB76" s="298" t="str">
        <f t="shared" si="13"/>
        <v>CIRQUE</v>
      </c>
      <c r="AC76" s="337" t="str">
        <f t="shared" si="14"/>
        <v>All</v>
      </c>
    </row>
    <row r="77" spans="1:29" ht="15.95" customHeight="1">
      <c r="A77" s="332" t="str">
        <f>Info[[#This Row],[Company]] &amp; "-" &amp; Info[[#This Row],[Department]] &amp; "-" &amp; $I$2 &amp; "-" &amp; TEXT(COUNTIF(INDEX(Info[Department],1):Info[[#This Row],[Department]],Info[[#This Row],[Department]]),"0000")</f>
        <v>CIRQUE-All-Info-0072</v>
      </c>
      <c r="B77" s="333"/>
      <c r="C77" s="334" t="s">
        <v>868</v>
      </c>
      <c r="D77" s="7" t="s">
        <v>887</v>
      </c>
      <c r="E77" s="7"/>
      <c r="F77" s="7"/>
      <c r="G77" s="7"/>
      <c r="H77" s="295" t="s">
        <v>891</v>
      </c>
      <c r="I77" s="295" t="s">
        <v>893</v>
      </c>
      <c r="J77" s="335" t="s">
        <v>900</v>
      </c>
      <c r="K77" s="8"/>
      <c r="L77" s="6" t="s">
        <v>905</v>
      </c>
      <c r="M77" s="336"/>
      <c r="N77" s="8" t="s">
        <v>906</v>
      </c>
      <c r="O77" s="9" t="s">
        <v>908</v>
      </c>
      <c r="P77" s="329" t="s">
        <v>890</v>
      </c>
      <c r="Q77" s="8"/>
      <c r="R77" s="6" t="s">
        <v>920</v>
      </c>
      <c r="S77" s="7">
        <v>2</v>
      </c>
      <c r="T77" s="7">
        <v>1</v>
      </c>
      <c r="U77" s="7">
        <v>1</v>
      </c>
      <c r="V77" s="10">
        <f t="shared" si="10"/>
        <v>2</v>
      </c>
      <c r="W77" s="7">
        <v>2</v>
      </c>
      <c r="X77" s="7">
        <v>3</v>
      </c>
      <c r="Y77" s="10">
        <f t="shared" si="11"/>
        <v>1</v>
      </c>
      <c r="Z77" s="11">
        <f t="shared" si="12"/>
        <v>2</v>
      </c>
      <c r="AA77" s="6"/>
      <c r="AB77" s="298" t="str">
        <f t="shared" si="13"/>
        <v>CIRQUE</v>
      </c>
      <c r="AC77" s="337" t="str">
        <f t="shared" si="14"/>
        <v>All</v>
      </c>
    </row>
    <row r="78" spans="1:29" ht="15.95" customHeight="1">
      <c r="A78" s="332" t="str">
        <f>Info[[#This Row],[Company]] &amp; "-" &amp; Info[[#This Row],[Department]] &amp; "-" &amp; $I$2 &amp; "-" &amp; TEXT(COUNTIF(INDEX(Info[Department],1):Info[[#This Row],[Department]],Info[[#This Row],[Department]]),"0000")</f>
        <v>CIRQUE-All-Info-0073</v>
      </c>
      <c r="B78" s="333"/>
      <c r="C78" s="334" t="s">
        <v>869</v>
      </c>
      <c r="D78" s="7" t="s">
        <v>887</v>
      </c>
      <c r="E78" s="7"/>
      <c r="F78" s="7"/>
      <c r="G78" s="7"/>
      <c r="H78" s="295" t="s">
        <v>891</v>
      </c>
      <c r="I78" s="295" t="s">
        <v>893</v>
      </c>
      <c r="J78" s="335" t="s">
        <v>900</v>
      </c>
      <c r="K78" s="8"/>
      <c r="L78" s="6" t="s">
        <v>905</v>
      </c>
      <c r="M78" s="336"/>
      <c r="N78" s="8" t="s">
        <v>906</v>
      </c>
      <c r="O78" s="9" t="s">
        <v>908</v>
      </c>
      <c r="P78" s="329" t="s">
        <v>890</v>
      </c>
      <c r="Q78" s="8"/>
      <c r="R78" s="6" t="s">
        <v>920</v>
      </c>
      <c r="S78" s="7">
        <v>2</v>
      </c>
      <c r="T78" s="7">
        <v>1</v>
      </c>
      <c r="U78" s="7">
        <v>1</v>
      </c>
      <c r="V78" s="10">
        <f t="shared" si="10"/>
        <v>2</v>
      </c>
      <c r="W78" s="7">
        <v>2</v>
      </c>
      <c r="X78" s="7">
        <v>3</v>
      </c>
      <c r="Y78" s="10">
        <f t="shared" si="11"/>
        <v>1</v>
      </c>
      <c r="Z78" s="11">
        <f t="shared" si="12"/>
        <v>2</v>
      </c>
      <c r="AA78" s="6"/>
      <c r="AB78" s="298" t="str">
        <f t="shared" si="13"/>
        <v>CIRQUE</v>
      </c>
      <c r="AC78" s="337" t="str">
        <f t="shared" si="14"/>
        <v>All</v>
      </c>
    </row>
    <row r="79" spans="1:29" ht="15.95" customHeight="1">
      <c r="A79" s="332" t="str">
        <f>Info[[#This Row],[Company]] &amp; "-" &amp; Info[[#This Row],[Department]] &amp; "-" &amp; $I$2 &amp; "-" &amp; TEXT(COUNTIF(INDEX(Info[Department],1):Info[[#This Row],[Department]],Info[[#This Row],[Department]]),"0000")</f>
        <v>CIRQUE-All-Info-0074</v>
      </c>
      <c r="B79" s="333"/>
      <c r="C79" s="334" t="s">
        <v>870</v>
      </c>
      <c r="D79" s="7" t="s">
        <v>887</v>
      </c>
      <c r="E79" s="7"/>
      <c r="F79" s="7"/>
      <c r="G79" s="7"/>
      <c r="H79" s="295" t="s">
        <v>891</v>
      </c>
      <c r="I79" s="295" t="s">
        <v>893</v>
      </c>
      <c r="J79" s="335" t="s">
        <v>900</v>
      </c>
      <c r="K79" s="8"/>
      <c r="L79" s="6" t="s">
        <v>905</v>
      </c>
      <c r="M79" s="336"/>
      <c r="N79" s="8" t="s">
        <v>906</v>
      </c>
      <c r="O79" s="9" t="s">
        <v>908</v>
      </c>
      <c r="P79" s="329" t="s">
        <v>890</v>
      </c>
      <c r="Q79" s="8"/>
      <c r="R79" s="6" t="s">
        <v>920</v>
      </c>
      <c r="S79" s="7">
        <v>2</v>
      </c>
      <c r="T79" s="7">
        <v>1</v>
      </c>
      <c r="U79" s="7">
        <v>1</v>
      </c>
      <c r="V79" s="10">
        <f t="shared" si="10"/>
        <v>2</v>
      </c>
      <c r="W79" s="7">
        <v>2</v>
      </c>
      <c r="X79" s="7">
        <v>3</v>
      </c>
      <c r="Y79" s="10">
        <f t="shared" si="11"/>
        <v>1</v>
      </c>
      <c r="Z79" s="11">
        <f t="shared" si="12"/>
        <v>2</v>
      </c>
      <c r="AA79" s="6"/>
      <c r="AB79" s="298" t="str">
        <f t="shared" si="13"/>
        <v>CIRQUE</v>
      </c>
      <c r="AC79" s="337" t="str">
        <f t="shared" si="14"/>
        <v>All</v>
      </c>
    </row>
    <row r="80" spans="1:29" ht="15.95" customHeight="1">
      <c r="A80" s="332" t="str">
        <f>Info[[#This Row],[Company]] &amp; "-" &amp; Info[[#This Row],[Department]] &amp; "-" &amp; $I$2 &amp; "-" &amp; TEXT(COUNTIF(INDEX(Info[Department],1):Info[[#This Row],[Department]],Info[[#This Row],[Department]]),"0000")</f>
        <v>CIRQUE-All-Info-0075</v>
      </c>
      <c r="B80" s="333"/>
      <c r="C80" s="334" t="s">
        <v>871</v>
      </c>
      <c r="D80" s="7" t="s">
        <v>887</v>
      </c>
      <c r="E80" s="7"/>
      <c r="F80" s="7"/>
      <c r="G80" s="7"/>
      <c r="H80" s="295" t="s">
        <v>891</v>
      </c>
      <c r="I80" s="295" t="s">
        <v>893</v>
      </c>
      <c r="J80" s="335" t="s">
        <v>900</v>
      </c>
      <c r="K80" s="8"/>
      <c r="L80" s="6" t="s">
        <v>905</v>
      </c>
      <c r="M80" s="336"/>
      <c r="N80" s="8" t="s">
        <v>906</v>
      </c>
      <c r="O80" s="9" t="s">
        <v>908</v>
      </c>
      <c r="P80" s="329" t="s">
        <v>890</v>
      </c>
      <c r="Q80" s="8"/>
      <c r="R80" s="6" t="s">
        <v>920</v>
      </c>
      <c r="S80" s="7">
        <v>2</v>
      </c>
      <c r="T80" s="7">
        <v>1</v>
      </c>
      <c r="U80" s="7">
        <v>1</v>
      </c>
      <c r="V80" s="10">
        <f t="shared" si="10"/>
        <v>2</v>
      </c>
      <c r="W80" s="7">
        <v>2</v>
      </c>
      <c r="X80" s="7">
        <v>3</v>
      </c>
      <c r="Y80" s="10">
        <f t="shared" si="11"/>
        <v>1</v>
      </c>
      <c r="Z80" s="11">
        <f t="shared" si="12"/>
        <v>2</v>
      </c>
      <c r="AA80" s="6"/>
      <c r="AB80" s="298" t="str">
        <f t="shared" si="13"/>
        <v>CIRQUE</v>
      </c>
      <c r="AC80" s="337" t="str">
        <f t="shared" si="14"/>
        <v>All</v>
      </c>
    </row>
    <row r="81" spans="1:29" ht="15.95" customHeight="1">
      <c r="A81" s="332" t="str">
        <f>Info[[#This Row],[Company]] &amp; "-" &amp; Info[[#This Row],[Department]] &amp; "-" &amp; $I$2 &amp; "-" &amp; TEXT(COUNTIF(INDEX(Info[Department],1):Info[[#This Row],[Department]],Info[[#This Row],[Department]]),"0000")</f>
        <v>CIRQUE-All-Info-0076</v>
      </c>
      <c r="B81" s="333"/>
      <c r="C81" s="334" t="s">
        <v>872</v>
      </c>
      <c r="D81" s="7" t="s">
        <v>887</v>
      </c>
      <c r="E81" s="7"/>
      <c r="F81" s="7"/>
      <c r="G81" s="7"/>
      <c r="H81" s="295" t="s">
        <v>891</v>
      </c>
      <c r="I81" s="295" t="s">
        <v>893</v>
      </c>
      <c r="J81" s="335" t="s">
        <v>900</v>
      </c>
      <c r="K81" s="8"/>
      <c r="L81" s="6" t="s">
        <v>905</v>
      </c>
      <c r="M81" s="336"/>
      <c r="N81" s="8" t="s">
        <v>906</v>
      </c>
      <c r="O81" s="9" t="s">
        <v>908</v>
      </c>
      <c r="P81" s="329" t="s">
        <v>890</v>
      </c>
      <c r="Q81" s="8"/>
      <c r="R81" s="6" t="s">
        <v>920</v>
      </c>
      <c r="S81" s="7">
        <v>2</v>
      </c>
      <c r="T81" s="7">
        <v>1</v>
      </c>
      <c r="U81" s="7">
        <v>1</v>
      </c>
      <c r="V81" s="10">
        <f t="shared" si="10"/>
        <v>2</v>
      </c>
      <c r="W81" s="7">
        <v>2</v>
      </c>
      <c r="X81" s="7">
        <v>3</v>
      </c>
      <c r="Y81" s="10">
        <f t="shared" si="11"/>
        <v>1</v>
      </c>
      <c r="Z81" s="11">
        <f t="shared" si="12"/>
        <v>2</v>
      </c>
      <c r="AA81" s="6"/>
      <c r="AB81" s="298" t="str">
        <f t="shared" si="13"/>
        <v>CIRQUE</v>
      </c>
      <c r="AC81" s="337" t="str">
        <f t="shared" si="14"/>
        <v>All</v>
      </c>
    </row>
    <row r="82" spans="1:29" ht="15.95" customHeight="1">
      <c r="A82" s="332" t="str">
        <f>Info[[#This Row],[Company]] &amp; "-" &amp; Info[[#This Row],[Department]] &amp; "-" &amp; $I$2 &amp; "-" &amp; TEXT(COUNTIF(INDEX(Info[Department],1):Info[[#This Row],[Department]],Info[[#This Row],[Department]]),"0000")</f>
        <v>CIRQUE-All-Info-0077</v>
      </c>
      <c r="B82" s="333"/>
      <c r="C82" s="334" t="s">
        <v>873</v>
      </c>
      <c r="D82" s="7" t="s">
        <v>887</v>
      </c>
      <c r="E82" s="7"/>
      <c r="F82" s="7"/>
      <c r="G82" s="7"/>
      <c r="H82" s="295" t="s">
        <v>891</v>
      </c>
      <c r="I82" s="295" t="s">
        <v>893</v>
      </c>
      <c r="J82" s="335" t="s">
        <v>900</v>
      </c>
      <c r="K82" s="8"/>
      <c r="L82" s="6" t="s">
        <v>905</v>
      </c>
      <c r="M82" s="336"/>
      <c r="N82" s="8" t="s">
        <v>906</v>
      </c>
      <c r="O82" s="9" t="s">
        <v>908</v>
      </c>
      <c r="P82" s="329" t="s">
        <v>890</v>
      </c>
      <c r="Q82" s="8"/>
      <c r="R82" s="6" t="s">
        <v>920</v>
      </c>
      <c r="S82" s="7">
        <v>2</v>
      </c>
      <c r="T82" s="7">
        <v>1</v>
      </c>
      <c r="U82" s="7">
        <v>1</v>
      </c>
      <c r="V82" s="10">
        <f t="shared" si="10"/>
        <v>2</v>
      </c>
      <c r="W82" s="7">
        <v>2</v>
      </c>
      <c r="X82" s="7">
        <v>3</v>
      </c>
      <c r="Y82" s="10">
        <f t="shared" si="11"/>
        <v>1</v>
      </c>
      <c r="Z82" s="11">
        <f t="shared" si="12"/>
        <v>2</v>
      </c>
      <c r="AA82" s="6"/>
      <c r="AB82" s="298" t="str">
        <f t="shared" si="13"/>
        <v>CIRQUE</v>
      </c>
      <c r="AC82" s="337" t="str">
        <f t="shared" si="14"/>
        <v>All</v>
      </c>
    </row>
    <row r="83" spans="1:29" ht="15.95" customHeight="1">
      <c r="A83" s="332" t="str">
        <f>Info[[#This Row],[Company]] &amp; "-" &amp; Info[[#This Row],[Department]] &amp; "-" &amp; $I$2 &amp; "-" &amp; TEXT(COUNTIF(INDEX(Info[Department],1):Info[[#This Row],[Department]],Info[[#This Row],[Department]]),"0000")</f>
        <v>CIRQUE-All-Info-0078</v>
      </c>
      <c r="B83" s="333"/>
      <c r="C83" s="334" t="s">
        <v>874</v>
      </c>
      <c r="D83" s="7" t="s">
        <v>887</v>
      </c>
      <c r="E83" s="7"/>
      <c r="F83" s="7"/>
      <c r="G83" s="7"/>
      <c r="H83" s="295" t="s">
        <v>891</v>
      </c>
      <c r="I83" s="295" t="s">
        <v>893</v>
      </c>
      <c r="J83" s="335" t="s">
        <v>900</v>
      </c>
      <c r="K83" s="8"/>
      <c r="L83" s="6" t="s">
        <v>905</v>
      </c>
      <c r="M83" s="336"/>
      <c r="N83" s="8" t="s">
        <v>906</v>
      </c>
      <c r="O83" s="9" t="s">
        <v>908</v>
      </c>
      <c r="P83" s="329" t="s">
        <v>890</v>
      </c>
      <c r="Q83" s="8"/>
      <c r="R83" s="6" t="s">
        <v>920</v>
      </c>
      <c r="S83" s="7">
        <v>2</v>
      </c>
      <c r="T83" s="7">
        <v>1</v>
      </c>
      <c r="U83" s="7">
        <v>1</v>
      </c>
      <c r="V83" s="10">
        <f t="shared" si="10"/>
        <v>2</v>
      </c>
      <c r="W83" s="7">
        <v>2</v>
      </c>
      <c r="X83" s="7">
        <v>3</v>
      </c>
      <c r="Y83" s="10">
        <f t="shared" si="11"/>
        <v>1</v>
      </c>
      <c r="Z83" s="11">
        <f t="shared" si="12"/>
        <v>2</v>
      </c>
      <c r="AA83" s="6"/>
      <c r="AB83" s="298" t="str">
        <f t="shared" si="13"/>
        <v>CIRQUE</v>
      </c>
      <c r="AC83" s="337" t="str">
        <f t="shared" si="14"/>
        <v>All</v>
      </c>
    </row>
    <row r="84" spans="1:29" ht="15.95" customHeight="1">
      <c r="A84" s="332" t="str">
        <f>Info[[#This Row],[Company]] &amp; "-" &amp; Info[[#This Row],[Department]] &amp; "-" &amp; $I$2 &amp; "-" &amp; TEXT(COUNTIF(INDEX(Info[Department],1):Info[[#This Row],[Department]],Info[[#This Row],[Department]]),"0000")</f>
        <v>CIRQUE-All-Info-0079</v>
      </c>
      <c r="B84" s="333"/>
      <c r="C84" s="334" t="s">
        <v>875</v>
      </c>
      <c r="D84" s="7" t="s">
        <v>887</v>
      </c>
      <c r="E84" s="7"/>
      <c r="F84" s="7"/>
      <c r="G84" s="7"/>
      <c r="H84" s="295" t="s">
        <v>891</v>
      </c>
      <c r="I84" s="295" t="s">
        <v>893</v>
      </c>
      <c r="J84" s="335" t="s">
        <v>900</v>
      </c>
      <c r="K84" s="8"/>
      <c r="L84" s="6" t="s">
        <v>905</v>
      </c>
      <c r="M84" s="336"/>
      <c r="N84" s="8" t="s">
        <v>906</v>
      </c>
      <c r="O84" s="9" t="s">
        <v>908</v>
      </c>
      <c r="P84" s="329" t="s">
        <v>890</v>
      </c>
      <c r="Q84" s="8"/>
      <c r="R84" s="6" t="s">
        <v>920</v>
      </c>
      <c r="S84" s="7">
        <v>2</v>
      </c>
      <c r="T84" s="7">
        <v>1</v>
      </c>
      <c r="U84" s="7">
        <v>1</v>
      </c>
      <c r="V84" s="10">
        <f t="shared" si="10"/>
        <v>2</v>
      </c>
      <c r="W84" s="7">
        <v>2</v>
      </c>
      <c r="X84" s="7">
        <v>3</v>
      </c>
      <c r="Y84" s="10">
        <f t="shared" si="11"/>
        <v>1</v>
      </c>
      <c r="Z84" s="11">
        <f t="shared" si="12"/>
        <v>2</v>
      </c>
      <c r="AA84" s="6"/>
      <c r="AB84" s="298" t="str">
        <f t="shared" si="13"/>
        <v>CIRQUE</v>
      </c>
      <c r="AC84" s="337" t="str">
        <f t="shared" si="14"/>
        <v>All</v>
      </c>
    </row>
    <row r="85" spans="1:29" ht="15.95" customHeight="1">
      <c r="A85" s="332" t="str">
        <f>Info[[#This Row],[Company]] &amp; "-" &amp; Info[[#This Row],[Department]] &amp; "-" &amp; $I$2 &amp; "-" &amp; TEXT(COUNTIF(INDEX(Info[Department],1):Info[[#This Row],[Department]],Info[[#This Row],[Department]]),"0000")</f>
        <v>CIRQUE-All-Info-0080</v>
      </c>
      <c r="B85" s="333"/>
      <c r="C85" s="334" t="s">
        <v>876</v>
      </c>
      <c r="D85" s="7" t="s">
        <v>887</v>
      </c>
      <c r="E85" s="7"/>
      <c r="F85" s="7"/>
      <c r="G85" s="7"/>
      <c r="H85" s="295" t="s">
        <v>891</v>
      </c>
      <c r="I85" s="295" t="s">
        <v>893</v>
      </c>
      <c r="J85" s="335" t="s">
        <v>900</v>
      </c>
      <c r="K85" s="8"/>
      <c r="L85" s="6" t="s">
        <v>905</v>
      </c>
      <c r="M85" s="336"/>
      <c r="N85" s="8" t="s">
        <v>906</v>
      </c>
      <c r="O85" s="9" t="s">
        <v>908</v>
      </c>
      <c r="P85" s="329" t="s">
        <v>890</v>
      </c>
      <c r="Q85" s="8"/>
      <c r="R85" s="6" t="s">
        <v>920</v>
      </c>
      <c r="S85" s="7">
        <v>2</v>
      </c>
      <c r="T85" s="7">
        <v>1</v>
      </c>
      <c r="U85" s="7">
        <v>1</v>
      </c>
      <c r="V85" s="10">
        <f t="shared" si="10"/>
        <v>2</v>
      </c>
      <c r="W85" s="7">
        <v>2</v>
      </c>
      <c r="X85" s="7">
        <v>3</v>
      </c>
      <c r="Y85" s="10">
        <f t="shared" si="11"/>
        <v>1</v>
      </c>
      <c r="Z85" s="11">
        <f t="shared" si="12"/>
        <v>2</v>
      </c>
      <c r="AA85" s="6"/>
      <c r="AB85" s="298" t="str">
        <f t="shared" si="13"/>
        <v>CIRQUE</v>
      </c>
      <c r="AC85" s="337" t="str">
        <f t="shared" si="14"/>
        <v>All</v>
      </c>
    </row>
    <row r="86" spans="1:29" ht="15.95" customHeight="1">
      <c r="A86" s="332" t="str">
        <f>Info[[#This Row],[Company]] &amp; "-" &amp; Info[[#This Row],[Department]] &amp; "-" &amp; $I$2 &amp; "-" &amp; TEXT(COUNTIF(INDEX(Info[Department],1):Info[[#This Row],[Department]],Info[[#This Row],[Department]]),"0000")</f>
        <v>CIRQUE-All-Info-0081</v>
      </c>
      <c r="B86" s="333"/>
      <c r="C86" s="334" t="s">
        <v>877</v>
      </c>
      <c r="D86" s="7" t="s">
        <v>887</v>
      </c>
      <c r="E86" s="7"/>
      <c r="F86" s="7"/>
      <c r="G86" s="7"/>
      <c r="H86" s="295" t="s">
        <v>891</v>
      </c>
      <c r="I86" s="295" t="s">
        <v>893</v>
      </c>
      <c r="J86" s="335" t="s">
        <v>900</v>
      </c>
      <c r="K86" s="8"/>
      <c r="L86" s="6" t="s">
        <v>905</v>
      </c>
      <c r="M86" s="336"/>
      <c r="N86" s="8" t="s">
        <v>906</v>
      </c>
      <c r="O86" s="9" t="s">
        <v>908</v>
      </c>
      <c r="P86" s="329" t="s">
        <v>890</v>
      </c>
      <c r="Q86" s="8"/>
      <c r="R86" s="6" t="s">
        <v>920</v>
      </c>
      <c r="S86" s="7">
        <v>2</v>
      </c>
      <c r="T86" s="7">
        <v>1</v>
      </c>
      <c r="U86" s="7">
        <v>1</v>
      </c>
      <c r="V86" s="10">
        <f t="shared" si="10"/>
        <v>2</v>
      </c>
      <c r="W86" s="7">
        <v>2</v>
      </c>
      <c r="X86" s="7">
        <v>3</v>
      </c>
      <c r="Y86" s="10">
        <f t="shared" si="11"/>
        <v>1</v>
      </c>
      <c r="Z86" s="11">
        <f t="shared" si="12"/>
        <v>2</v>
      </c>
      <c r="AA86" s="6"/>
      <c r="AB86" s="298" t="str">
        <f t="shared" si="13"/>
        <v>CIRQUE</v>
      </c>
      <c r="AC86" s="337" t="str">
        <f t="shared" si="14"/>
        <v>All</v>
      </c>
    </row>
    <row r="87" spans="1:29" ht="15.95" customHeight="1">
      <c r="A87" s="332" t="str">
        <f>Info[[#This Row],[Company]] &amp; "-" &amp; Info[[#This Row],[Department]] &amp; "-" &amp; $I$2 &amp; "-" &amp; TEXT(COUNTIF(INDEX(Info[Department],1):Info[[#This Row],[Department]],Info[[#This Row],[Department]]),"0000")</f>
        <v>CIRQUE-All-Info-0082</v>
      </c>
      <c r="B87" s="333"/>
      <c r="C87" s="334" t="s">
        <v>878</v>
      </c>
      <c r="D87" s="7" t="s">
        <v>887</v>
      </c>
      <c r="E87" s="7"/>
      <c r="F87" s="7"/>
      <c r="G87" s="7"/>
      <c r="H87" s="295" t="s">
        <v>891</v>
      </c>
      <c r="I87" s="295" t="s">
        <v>893</v>
      </c>
      <c r="J87" s="335" t="s">
        <v>900</v>
      </c>
      <c r="K87" s="8"/>
      <c r="L87" s="6" t="s">
        <v>905</v>
      </c>
      <c r="M87" s="336"/>
      <c r="N87" s="8" t="s">
        <v>906</v>
      </c>
      <c r="O87" s="9" t="s">
        <v>908</v>
      </c>
      <c r="P87" s="329" t="s">
        <v>890</v>
      </c>
      <c r="Q87" s="8"/>
      <c r="R87" s="6" t="s">
        <v>920</v>
      </c>
      <c r="S87" s="7">
        <v>2</v>
      </c>
      <c r="T87" s="7">
        <v>1</v>
      </c>
      <c r="U87" s="7">
        <v>1</v>
      </c>
      <c r="V87" s="10">
        <f t="shared" si="10"/>
        <v>2</v>
      </c>
      <c r="W87" s="7">
        <v>2</v>
      </c>
      <c r="X87" s="7">
        <v>3</v>
      </c>
      <c r="Y87" s="10">
        <f t="shared" si="11"/>
        <v>1</v>
      </c>
      <c r="Z87" s="11">
        <f t="shared" si="12"/>
        <v>2</v>
      </c>
      <c r="AA87" s="6"/>
      <c r="AB87" s="298" t="str">
        <f t="shared" si="13"/>
        <v>CIRQUE</v>
      </c>
      <c r="AC87" s="337" t="str">
        <f t="shared" si="14"/>
        <v>All</v>
      </c>
    </row>
    <row r="88" spans="1:29" ht="15.95" customHeight="1">
      <c r="A88" s="332" t="str">
        <f>Info[[#This Row],[Company]] &amp; "-" &amp; Info[[#This Row],[Department]] &amp; "-" &amp; $I$2 &amp; "-" &amp; TEXT(COUNTIF(INDEX(Info[Department],1):Info[[#This Row],[Department]],Info[[#This Row],[Department]]),"0000")</f>
        <v>CIRQUE-All-Info-0083</v>
      </c>
      <c r="B88" s="333"/>
      <c r="C88" s="334" t="s">
        <v>879</v>
      </c>
      <c r="D88" s="7" t="s">
        <v>887</v>
      </c>
      <c r="E88" s="7"/>
      <c r="F88" s="7"/>
      <c r="G88" s="7"/>
      <c r="H88" s="295" t="s">
        <v>891</v>
      </c>
      <c r="I88" s="295" t="s">
        <v>893</v>
      </c>
      <c r="J88" s="335" t="s">
        <v>900</v>
      </c>
      <c r="K88" s="8"/>
      <c r="L88" s="6" t="s">
        <v>905</v>
      </c>
      <c r="M88" s="336"/>
      <c r="N88" s="8" t="s">
        <v>906</v>
      </c>
      <c r="O88" s="9" t="s">
        <v>908</v>
      </c>
      <c r="P88" s="329" t="s">
        <v>890</v>
      </c>
      <c r="Q88" s="8"/>
      <c r="R88" s="6" t="s">
        <v>920</v>
      </c>
      <c r="S88" s="7">
        <v>2</v>
      </c>
      <c r="T88" s="7">
        <v>1</v>
      </c>
      <c r="U88" s="7">
        <v>1</v>
      </c>
      <c r="V88" s="10">
        <f t="shared" si="10"/>
        <v>2</v>
      </c>
      <c r="W88" s="7">
        <v>2</v>
      </c>
      <c r="X88" s="7">
        <v>3</v>
      </c>
      <c r="Y88" s="10">
        <f t="shared" si="11"/>
        <v>1</v>
      </c>
      <c r="Z88" s="11">
        <f t="shared" si="12"/>
        <v>2</v>
      </c>
      <c r="AA88" s="6"/>
      <c r="AB88" s="298" t="str">
        <f t="shared" si="13"/>
        <v>CIRQUE</v>
      </c>
      <c r="AC88" s="337" t="str">
        <f t="shared" si="14"/>
        <v>All</v>
      </c>
    </row>
    <row r="89" spans="1:29" ht="15.95" customHeight="1">
      <c r="A89" s="332" t="str">
        <f>Info[[#This Row],[Company]] &amp; "-" &amp; Info[[#This Row],[Department]] &amp; "-" &amp; $I$2 &amp; "-" &amp; TEXT(COUNTIF(INDEX(Info[Department],1):Info[[#This Row],[Department]],Info[[#This Row],[Department]]),"0000")</f>
        <v>CIRQUE-All-Info-0084</v>
      </c>
      <c r="B89" s="333"/>
      <c r="C89" s="334" t="s">
        <v>880</v>
      </c>
      <c r="D89" s="7" t="s">
        <v>888</v>
      </c>
      <c r="E89" s="7"/>
      <c r="F89" s="7"/>
      <c r="G89" s="7"/>
      <c r="H89" s="295" t="s">
        <v>891</v>
      </c>
      <c r="I89" s="295" t="s">
        <v>895</v>
      </c>
      <c r="J89" s="335" t="s">
        <v>901</v>
      </c>
      <c r="K89" s="8"/>
      <c r="L89" s="6" t="s">
        <v>905</v>
      </c>
      <c r="M89" s="336"/>
      <c r="N89" s="8" t="s">
        <v>906</v>
      </c>
      <c r="O89" s="9" t="s">
        <v>909</v>
      </c>
      <c r="P89" s="329" t="s">
        <v>913</v>
      </c>
      <c r="Q89" s="8"/>
      <c r="R89" s="6" t="s">
        <v>920</v>
      </c>
      <c r="S89" s="7">
        <v>2</v>
      </c>
      <c r="T89" s="7">
        <v>1</v>
      </c>
      <c r="U89" s="7">
        <v>1</v>
      </c>
      <c r="V89" s="10">
        <f t="shared" si="10"/>
        <v>2</v>
      </c>
      <c r="W89" s="7">
        <v>2</v>
      </c>
      <c r="X89" s="7">
        <v>3</v>
      </c>
      <c r="Y89" s="10">
        <f t="shared" si="11"/>
        <v>1</v>
      </c>
      <c r="Z89" s="11">
        <f t="shared" si="12"/>
        <v>2</v>
      </c>
      <c r="AA89" s="6"/>
      <c r="AB89" s="298" t="str">
        <f t="shared" si="13"/>
        <v>CIRQUE</v>
      </c>
      <c r="AC89" s="337" t="str">
        <f t="shared" si="14"/>
        <v>All</v>
      </c>
    </row>
    <row r="90" spans="1:29" ht="15.95" customHeight="1">
      <c r="A90" s="332" t="str">
        <f>Info[[#This Row],[Company]] &amp; "-" &amp; Info[[#This Row],[Department]] &amp; "-" &amp; $I$2 &amp; "-" &amp; TEXT(COUNTIF(INDEX(Info[Department],1):Info[[#This Row],[Department]],Info[[#This Row],[Department]]),"0000")</f>
        <v>CIRQUE-All-Info-0085</v>
      </c>
      <c r="B90" s="333"/>
      <c r="C90" s="334" t="s">
        <v>881</v>
      </c>
      <c r="D90" s="7" t="s">
        <v>888</v>
      </c>
      <c r="E90" s="7"/>
      <c r="F90" s="7"/>
      <c r="G90" s="7"/>
      <c r="H90" s="295" t="s">
        <v>891</v>
      </c>
      <c r="I90" s="295" t="s">
        <v>896</v>
      </c>
      <c r="J90" s="335" t="s">
        <v>902</v>
      </c>
      <c r="K90" s="8"/>
      <c r="L90" s="6" t="s">
        <v>905</v>
      </c>
      <c r="M90" s="336"/>
      <c r="N90" s="8" t="s">
        <v>906</v>
      </c>
      <c r="O90" s="9" t="s">
        <v>908</v>
      </c>
      <c r="P90" s="329" t="s">
        <v>913</v>
      </c>
      <c r="Q90" s="8"/>
      <c r="R90" s="6" t="s">
        <v>920</v>
      </c>
      <c r="S90" s="7">
        <v>2</v>
      </c>
      <c r="T90" s="7">
        <v>1</v>
      </c>
      <c r="U90" s="7">
        <v>1</v>
      </c>
      <c r="V90" s="10">
        <f t="shared" si="10"/>
        <v>2</v>
      </c>
      <c r="W90" s="7">
        <v>2</v>
      </c>
      <c r="X90" s="7">
        <v>3</v>
      </c>
      <c r="Y90" s="10">
        <f t="shared" si="11"/>
        <v>1</v>
      </c>
      <c r="Z90" s="11">
        <f t="shared" si="12"/>
        <v>2</v>
      </c>
      <c r="AA90" s="6"/>
      <c r="AB90" s="298" t="str">
        <f t="shared" si="13"/>
        <v>CIRQUE</v>
      </c>
      <c r="AC90" s="337" t="str">
        <f t="shared" si="14"/>
        <v>All</v>
      </c>
    </row>
    <row r="91" spans="1:29" ht="15.95" customHeight="1">
      <c r="A91" s="332" t="str">
        <f>Info[[#This Row],[Company]] &amp; "-" &amp; Info[[#This Row],[Department]] &amp; "-" &amp; $I$2 &amp; "-" &amp; TEXT(COUNTIF(INDEX(Info[Department],1):Info[[#This Row],[Department]],Info[[#This Row],[Department]]),"0000")</f>
        <v>CIRQUE-All-Info-0086</v>
      </c>
      <c r="B91" s="333"/>
      <c r="C91" s="334" t="s">
        <v>882</v>
      </c>
      <c r="D91" s="7" t="s">
        <v>888</v>
      </c>
      <c r="E91" s="7"/>
      <c r="F91" s="7"/>
      <c r="G91" s="7"/>
      <c r="H91" s="295" t="s">
        <v>891</v>
      </c>
      <c r="I91" s="295" t="s">
        <v>897</v>
      </c>
      <c r="J91" s="335" t="s">
        <v>901</v>
      </c>
      <c r="K91" s="8"/>
      <c r="L91" s="6" t="s">
        <v>905</v>
      </c>
      <c r="M91" s="336"/>
      <c r="N91" s="8" t="s">
        <v>906</v>
      </c>
      <c r="O91" s="9" t="s">
        <v>910</v>
      </c>
      <c r="P91" s="329" t="s">
        <v>913</v>
      </c>
      <c r="Q91" s="8"/>
      <c r="R91" s="6" t="s">
        <v>920</v>
      </c>
      <c r="S91" s="7">
        <v>2</v>
      </c>
      <c r="T91" s="7">
        <v>1</v>
      </c>
      <c r="U91" s="7">
        <v>1</v>
      </c>
      <c r="V91" s="10">
        <f t="shared" si="10"/>
        <v>2</v>
      </c>
      <c r="W91" s="7">
        <v>2</v>
      </c>
      <c r="X91" s="7">
        <v>3</v>
      </c>
      <c r="Y91" s="10">
        <f t="shared" si="11"/>
        <v>1</v>
      </c>
      <c r="Z91" s="11">
        <f t="shared" si="12"/>
        <v>2</v>
      </c>
      <c r="AA91" s="6"/>
      <c r="AB91" s="298" t="str">
        <f t="shared" si="13"/>
        <v>CIRQUE</v>
      </c>
      <c r="AC91" s="337" t="str">
        <f t="shared" si="14"/>
        <v>All</v>
      </c>
    </row>
    <row r="92" spans="1:29" ht="15.95" customHeight="1">
      <c r="A92" s="332" t="str">
        <f>Info[[#This Row],[Company]] &amp; "-" &amp; Info[[#This Row],[Department]] &amp; "-" &amp; $I$2 &amp; "-" &amp; TEXT(COUNTIF(INDEX(Info[Department],1):Info[[#This Row],[Department]],Info[[#This Row],[Department]]),"0000")</f>
        <v>CIRQUE-All-Info-0087</v>
      </c>
      <c r="B92" s="333"/>
      <c r="C92" s="334" t="s">
        <v>883</v>
      </c>
      <c r="D92" s="7" t="s">
        <v>888</v>
      </c>
      <c r="E92" s="7"/>
      <c r="F92" s="7"/>
      <c r="G92" s="7"/>
      <c r="H92" s="295" t="s">
        <v>891</v>
      </c>
      <c r="I92" s="295" t="s">
        <v>895</v>
      </c>
      <c r="J92" s="335" t="s">
        <v>901</v>
      </c>
      <c r="K92" s="8"/>
      <c r="L92" s="6" t="s">
        <v>905</v>
      </c>
      <c r="M92" s="336"/>
      <c r="N92" s="8" t="s">
        <v>906</v>
      </c>
      <c r="O92" s="9" t="s">
        <v>908</v>
      </c>
      <c r="P92" s="329" t="s">
        <v>913</v>
      </c>
      <c r="Q92" s="8"/>
      <c r="R92" s="6" t="s">
        <v>920</v>
      </c>
      <c r="S92" s="7">
        <v>2</v>
      </c>
      <c r="T92" s="7">
        <v>1</v>
      </c>
      <c r="U92" s="7">
        <v>1</v>
      </c>
      <c r="V92" s="10">
        <f t="shared" si="10"/>
        <v>2</v>
      </c>
      <c r="W92" s="7">
        <v>2</v>
      </c>
      <c r="X92" s="7">
        <v>3</v>
      </c>
      <c r="Y92" s="10">
        <f t="shared" si="11"/>
        <v>1</v>
      </c>
      <c r="Z92" s="11">
        <f t="shared" si="12"/>
        <v>2</v>
      </c>
      <c r="AA92" s="6"/>
      <c r="AB92" s="298" t="str">
        <f t="shared" si="13"/>
        <v>CIRQUE</v>
      </c>
      <c r="AC92" s="337" t="str">
        <f t="shared" si="14"/>
        <v>All</v>
      </c>
    </row>
    <row r="93" spans="1:29" ht="15.95" customHeight="1">
      <c r="A93" s="332" t="str">
        <f>Info[[#This Row],[Company]] &amp; "-" &amp; Info[[#This Row],[Department]] &amp; "-" &amp; $I$2 &amp; "-" &amp; TEXT(COUNTIF(INDEX(Info[Department],1):Info[[#This Row],[Department]],Info[[#This Row],[Department]]),"0000")</f>
        <v>CIRQUE-All-Info-0088</v>
      </c>
      <c r="B93" s="333"/>
      <c r="C93" s="334" t="s">
        <v>884</v>
      </c>
      <c r="D93" s="7" t="s">
        <v>887</v>
      </c>
      <c r="E93" s="7"/>
      <c r="F93" s="7"/>
      <c r="G93" s="7"/>
      <c r="H93" s="295" t="s">
        <v>891</v>
      </c>
      <c r="I93" s="295" t="s">
        <v>896</v>
      </c>
      <c r="J93" s="335" t="s">
        <v>902</v>
      </c>
      <c r="K93" s="8"/>
      <c r="L93" s="6" t="s">
        <v>905</v>
      </c>
      <c r="M93" s="336"/>
      <c r="N93" s="8" t="s">
        <v>906</v>
      </c>
      <c r="O93" s="9" t="s">
        <v>908</v>
      </c>
      <c r="P93" s="329" t="s">
        <v>913</v>
      </c>
      <c r="Q93" s="8"/>
      <c r="R93" s="6" t="s">
        <v>920</v>
      </c>
      <c r="S93" s="7">
        <v>2</v>
      </c>
      <c r="T93" s="7">
        <v>1</v>
      </c>
      <c r="U93" s="7">
        <v>1</v>
      </c>
      <c r="V93" s="10">
        <f t="shared" si="10"/>
        <v>2</v>
      </c>
      <c r="W93" s="7">
        <v>2</v>
      </c>
      <c r="X93" s="7">
        <v>3</v>
      </c>
      <c r="Y93" s="10">
        <f t="shared" si="11"/>
        <v>1</v>
      </c>
      <c r="Z93" s="11">
        <f t="shared" si="12"/>
        <v>2</v>
      </c>
      <c r="AA93" s="6"/>
      <c r="AB93" s="298" t="str">
        <f t="shared" si="13"/>
        <v>CIRQUE</v>
      </c>
      <c r="AC93" s="337" t="str">
        <f t="shared" si="14"/>
        <v>All</v>
      </c>
    </row>
    <row r="94" spans="1:29" ht="15.95" customHeight="1">
      <c r="A94" s="332" t="str">
        <f>Info[[#This Row],[Company]] &amp; "-" &amp; Info[[#This Row],[Department]] &amp; "-" &amp; $I$2 &amp; "-" &amp; TEXT(COUNTIF(INDEX(Info[Department],1):Info[[#This Row],[Department]],Info[[#This Row],[Department]]),"0000")</f>
        <v>CIRQUE-All-Info-0089</v>
      </c>
      <c r="B94" s="333"/>
      <c r="C94" s="334" t="s">
        <v>885</v>
      </c>
      <c r="D94" s="7" t="s">
        <v>887</v>
      </c>
      <c r="E94" s="7"/>
      <c r="F94" s="7"/>
      <c r="G94" s="7"/>
      <c r="H94" s="295" t="s">
        <v>891</v>
      </c>
      <c r="I94" s="295" t="s">
        <v>896</v>
      </c>
      <c r="J94" s="335" t="s">
        <v>902</v>
      </c>
      <c r="K94" s="8"/>
      <c r="L94" s="6" t="s">
        <v>905</v>
      </c>
      <c r="M94" s="336"/>
      <c r="N94" s="8" t="s">
        <v>906</v>
      </c>
      <c r="O94" s="9" t="s">
        <v>908</v>
      </c>
      <c r="P94" s="329" t="s">
        <v>913</v>
      </c>
      <c r="Q94" s="8"/>
      <c r="R94" s="6" t="s">
        <v>920</v>
      </c>
      <c r="S94" s="7">
        <v>2</v>
      </c>
      <c r="T94" s="7">
        <v>1</v>
      </c>
      <c r="U94" s="7">
        <v>1</v>
      </c>
      <c r="V94" s="10">
        <f t="shared" si="10"/>
        <v>2</v>
      </c>
      <c r="W94" s="7">
        <v>2</v>
      </c>
      <c r="X94" s="7">
        <v>3</v>
      </c>
      <c r="Y94" s="10">
        <f t="shared" si="11"/>
        <v>1</v>
      </c>
      <c r="Z94" s="11">
        <f t="shared" si="12"/>
        <v>2</v>
      </c>
      <c r="AA94" s="6"/>
      <c r="AB94" s="298" t="str">
        <f t="shared" si="13"/>
        <v>CIRQUE</v>
      </c>
      <c r="AC94" s="337" t="str">
        <f t="shared" si="14"/>
        <v>All</v>
      </c>
    </row>
    <row r="95" spans="1:29" ht="15.95" customHeight="1">
      <c r="A95" s="338" t="str">
        <f>Info[[#This Row],[Company]] &amp; "-" &amp; Info[[#This Row],[Department]] &amp; "-" &amp; $I$2 &amp; "-" &amp; TEXT(COUNTIF(INDEX(Info[Department],1):Info[[#This Row],[Department]],Info[[#This Row],[Department]]),"0000")</f>
        <v>CIRQUE-All-Info-0090</v>
      </c>
      <c r="B95" s="339"/>
      <c r="C95" s="340" t="s">
        <v>886</v>
      </c>
      <c r="D95" s="14" t="s">
        <v>888</v>
      </c>
      <c r="E95" s="14"/>
      <c r="F95" s="14"/>
      <c r="G95" s="14"/>
      <c r="H95" s="67" t="s">
        <v>891</v>
      </c>
      <c r="I95" s="67" t="s">
        <v>898</v>
      </c>
      <c r="J95" s="341" t="s">
        <v>901</v>
      </c>
      <c r="K95" s="16"/>
      <c r="L95" s="13" t="s">
        <v>905</v>
      </c>
      <c r="M95" s="342"/>
      <c r="N95" s="16" t="s">
        <v>906</v>
      </c>
      <c r="O95" s="343" t="s">
        <v>911</v>
      </c>
      <c r="P95" s="344" t="s">
        <v>913</v>
      </c>
      <c r="Q95" s="16"/>
      <c r="R95" s="13" t="s">
        <v>920</v>
      </c>
      <c r="S95" s="14">
        <v>2</v>
      </c>
      <c r="T95" s="14">
        <v>1</v>
      </c>
      <c r="U95" s="14">
        <v>1</v>
      </c>
      <c r="V95" s="345">
        <f t="shared" si="10"/>
        <v>2</v>
      </c>
      <c r="W95" s="14">
        <v>2</v>
      </c>
      <c r="X95" s="14">
        <v>3</v>
      </c>
      <c r="Y95" s="345">
        <f t="shared" si="11"/>
        <v>1</v>
      </c>
      <c r="Z95" s="346">
        <f t="shared" si="12"/>
        <v>2</v>
      </c>
      <c r="AA95" s="13"/>
      <c r="AB95" s="304" t="str">
        <f t="shared" si="13"/>
        <v>CIRQUE</v>
      </c>
      <c r="AC95" s="347" t="str">
        <f t="shared" si="14"/>
        <v>All</v>
      </c>
    </row>
  </sheetData>
  <phoneticPr fontId="1"/>
  <conditionalFormatting sqref="Z6:Z95">
    <cfRule type="cellIs" dxfId="14" priority="1" operator="greaterThan">
      <formula>6</formula>
    </cfRule>
    <cfRule type="cellIs" dxfId="13" priority="2" operator="between">
      <formula>4</formula>
      <formula>6</formula>
    </cfRule>
    <cfRule type="cellIs" dxfId="12" priority="3" operator="lessThan">
      <formula>4</formula>
    </cfRule>
  </conditionalFormatting>
  <dataValidations count="12">
    <dataValidation type="list" allowBlank="1" showInputMessage="1" showErrorMessage="1" sqref="S6:S95 T7:T1048576 AI7:AI1048576" xr:uid="{AFFA903B-3414-4DBB-85C4-A8C6E56AEE56}">
      <formula1>Confidentiality</formula1>
    </dataValidation>
    <dataValidation type="list" allowBlank="1" showInputMessage="1" showErrorMessage="1" sqref="T6 U7:U1048576 AJ7:AJ1048576" xr:uid="{5E39F1D3-42A0-4050-9B34-1340FA600DDA}">
      <formula1>Integrity</formula1>
    </dataValidation>
    <dataValidation type="list" allowBlank="1" showInputMessage="1" showErrorMessage="1" sqref="U6 V7:V1048576 AK7:AK1048576" xr:uid="{77319B18-09DC-4D2F-97CE-8095543B4986}">
      <formula1>Availability</formula1>
    </dataValidation>
    <dataValidation type="list" allowBlank="1" showInputMessage="1" showErrorMessage="1" sqref="W6:W95 X7:X1048576 AM7:AM1048576" xr:uid="{D8A6FF85-415E-4610-8F7E-1D9A8A3EE0E9}">
      <formula1>Threat_probality_Class</formula1>
    </dataValidation>
    <dataValidation type="list" allowBlank="1" showInputMessage="1" showErrorMessage="1" sqref="X6 Y7:Y1048576 AN7:AN1048576" xr:uid="{D9726249-7C92-47BB-8EFE-2606A3F207F0}">
      <formula1>Vulnerability_Class</formula1>
    </dataValidation>
    <dataValidation type="list" allowBlank="1" showInputMessage="1" showErrorMessage="1" sqref="D6:D1048576" xr:uid="{AE3A3012-0C06-4284-9134-FB920977E81A}">
      <formula1>Required_Protect_Class</formula1>
    </dataValidation>
    <dataValidation type="list" allowBlank="1" showInputMessage="1" showErrorMessage="1" sqref="E6:E1048576" xr:uid="{58174FA4-EB69-4495-8B3E-ACA82310E2DC}">
      <formula1>Critical_Information_Classification</formula1>
    </dataValidation>
    <dataValidation type="list" allowBlank="1" showInputMessage="1" showErrorMessage="1" sqref="F6:F1048576" xr:uid="{B639AFE9-5202-4252-9390-404BA5AE57C1}">
      <formula1>Customer_Name</formula1>
    </dataValidation>
    <dataValidation type="list" allowBlank="1" showInputMessage="1" sqref="K6:K1048576" xr:uid="{EDCA39BA-916D-4A12-870D-48445F7C4076}">
      <formula1>Business_Area</formula1>
    </dataValidation>
    <dataValidation type="list" allowBlank="1" showInputMessage="1" showErrorMessage="1" sqref="G6:G1048576" xr:uid="{2359C202-9D9E-4C5F-9D5F-8A63B19F79BE}">
      <formula1>Category_N</formula1>
    </dataValidation>
    <dataValidation type="list" allowBlank="1" showInputMessage="1" showErrorMessage="1" sqref="H6:H1048576 K7:K1048576" xr:uid="{DF6EE375-74B3-4135-A17D-36A4A62BB3F5}">
      <formula1>Information_Category</formula1>
    </dataValidation>
    <dataValidation type="list" allowBlank="1" showInputMessage="1" showErrorMessage="1" sqref="M6:M1048576" xr:uid="{6B0AB837-413C-4944-9D04-1008CDEED648}">
      <formula1>Media_form</formula1>
    </dataValidation>
  </dataValidations>
  <printOptions horizontalCentered="1"/>
  <pageMargins left="0.19685039370078741" right="0.19685039370078741" top="0.19685039370078741" bottom="0.19685039370078741" header="0.31496062992125984" footer="0.31496062992125984"/>
  <pageSetup paperSize="13" orientation="portrait" horizontalDpi="1200" verticalDpi="12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1963F-BF0E-40FE-9432-FF9A4027DFE6}">
  <sheetPr codeName="Sheet2">
    <tabColor rgb="FF66CCFF"/>
  </sheetPr>
  <dimension ref="A1:BD6"/>
  <sheetViews>
    <sheetView zoomScale="80" zoomScaleNormal="80" workbookViewId="0">
      <pane xSplit="1" ySplit="5" topLeftCell="E6" activePane="bottomRight" state="frozen"/>
      <selection pane="topRight" activeCell="B1" sqref="B1"/>
      <selection pane="bottomLeft" activeCell="A8" sqref="A8"/>
      <selection pane="bottomRight" activeCell="F3" sqref="F3"/>
    </sheetView>
  </sheetViews>
  <sheetFormatPr defaultColWidth="14.625" defaultRowHeight="15.95" customHeight="1" outlineLevelRow="1"/>
  <cols>
    <col min="1" max="1" width="17.375" style="2" customWidth="1"/>
    <col min="2" max="2" width="14.875" style="2" customWidth="1"/>
    <col min="3" max="3" width="17.75" style="1" customWidth="1"/>
    <col min="4" max="4" width="17.375" style="2" bestFit="1" customWidth="1"/>
    <col min="5" max="5" width="34.25" style="2" bestFit="1" customWidth="1"/>
    <col min="6" max="6" width="14.125" style="2" bestFit="1" customWidth="1"/>
    <col min="7" max="7" width="32.5" style="2" bestFit="1" customWidth="1"/>
    <col min="8" max="8" width="18.5" bestFit="1" customWidth="1"/>
    <col min="9" max="9" width="16.25" bestFit="1" customWidth="1"/>
    <col min="10" max="10" width="18.5" bestFit="1" customWidth="1"/>
    <col min="11" max="11" width="18.375" bestFit="1" customWidth="1"/>
    <col min="12" max="12" width="19.25" style="2" bestFit="1" customWidth="1"/>
    <col min="13" max="13" width="15.75" style="1" bestFit="1" customWidth="1"/>
    <col min="14" max="14" width="16.625" style="2" bestFit="1" customWidth="1"/>
    <col min="21" max="21" width="14" bestFit="1" customWidth="1"/>
    <col min="22" max="22" width="18.375" style="2" bestFit="1" customWidth="1"/>
    <col min="23" max="23" width="18.125" bestFit="1" customWidth="1"/>
    <col min="24" max="24" width="18.375" bestFit="1" customWidth="1"/>
    <col min="25" max="25" width="17.75" style="1" bestFit="1" customWidth="1"/>
    <col min="26" max="26" width="13.625" style="1" bestFit="1" customWidth="1"/>
    <col min="27" max="27" width="15.5" style="2" bestFit="1" customWidth="1"/>
    <col min="28" max="28" width="16.625" style="1" bestFit="1" customWidth="1"/>
    <col min="29" max="29" width="14.625" style="1"/>
    <col min="30" max="30" width="17" style="1" bestFit="1" customWidth="1"/>
    <col min="31" max="31" width="15.25" style="1" bestFit="1" customWidth="1"/>
    <col min="32" max="32" width="11.625" style="1" bestFit="1" customWidth="1"/>
    <col min="33" max="33" width="13.375" style="1" bestFit="1" customWidth="1"/>
    <col min="34" max="34" width="13.75" style="1" bestFit="1" customWidth="1"/>
    <col min="35" max="35" width="16.375" style="1" bestFit="1" customWidth="1"/>
    <col min="36" max="36" width="14.625" style="1"/>
    <col min="37" max="37" width="9" style="1" bestFit="1" customWidth="1"/>
    <col min="38" max="38" width="7.625" style="1" bestFit="1" customWidth="1"/>
    <col min="39" max="39" width="7.25" style="1" bestFit="1" customWidth="1"/>
    <col min="40" max="40" width="14.625" style="1"/>
    <col min="41" max="41" width="9.25" style="1" bestFit="1" customWidth="1"/>
    <col min="42" max="42" width="5.75" style="1" bestFit="1" customWidth="1"/>
    <col min="43" max="43" width="6.5" style="1" bestFit="1" customWidth="1"/>
    <col min="44" max="44" width="6" style="1" bestFit="1" customWidth="1"/>
    <col min="45" max="45" width="5.75" style="1" bestFit="1" customWidth="1"/>
    <col min="46" max="16384" width="14.625" style="1"/>
  </cols>
  <sheetData>
    <row r="1" spans="1:56" ht="16.5">
      <c r="A1" s="100" t="s">
        <v>1352</v>
      </c>
      <c r="B1" s="100"/>
      <c r="H1" s="2"/>
      <c r="I1" s="2"/>
      <c r="J1" s="1"/>
      <c r="K1" s="2"/>
      <c r="L1" s="1"/>
      <c r="N1" s="1"/>
      <c r="O1" s="2"/>
      <c r="P1" s="2"/>
      <c r="Q1" s="1"/>
      <c r="R1" s="1"/>
      <c r="S1" s="1"/>
      <c r="T1" s="1"/>
      <c r="U1" s="1"/>
      <c r="V1" s="1"/>
      <c r="W1" s="1"/>
      <c r="X1" s="1"/>
      <c r="AA1" s="1"/>
    </row>
    <row r="2" spans="1:56" ht="15.95" customHeight="1" outlineLevel="1">
      <c r="A2" s="3" t="s">
        <v>0</v>
      </c>
      <c r="B2" s="3" t="s">
        <v>1</v>
      </c>
      <c r="C2" s="3" t="s">
        <v>2</v>
      </c>
      <c r="D2" s="45"/>
      <c r="E2" s="2" t="s">
        <v>3</v>
      </c>
      <c r="F2" s="2" t="s">
        <v>795</v>
      </c>
      <c r="G2" s="2" t="s">
        <v>25</v>
      </c>
      <c r="H2" s="2" t="s">
        <v>796</v>
      </c>
      <c r="I2" s="2" t="s">
        <v>26</v>
      </c>
      <c r="J2" s="1"/>
      <c r="K2" s="1"/>
      <c r="L2" s="1"/>
      <c r="N2" s="1"/>
      <c r="O2" s="1"/>
      <c r="P2" s="1"/>
      <c r="Q2" s="1"/>
      <c r="R2" s="1"/>
      <c r="S2" s="1"/>
      <c r="T2" s="1"/>
      <c r="U2" s="1"/>
      <c r="V2" s="1"/>
      <c r="W2" s="1"/>
      <c r="X2" s="1"/>
      <c r="AA2" s="1"/>
    </row>
    <row r="3" spans="1:56" ht="54.6" customHeight="1">
      <c r="A3" s="378"/>
      <c r="B3" s="378"/>
      <c r="C3" s="378"/>
      <c r="D3" s="45"/>
      <c r="E3" s="1"/>
      <c r="F3" s="1"/>
      <c r="G3" s="1"/>
      <c r="H3" s="1"/>
      <c r="I3" s="2"/>
      <c r="J3" s="2"/>
      <c r="K3" s="2"/>
      <c r="M3" s="2"/>
      <c r="N3" s="1"/>
      <c r="O3" s="1"/>
      <c r="P3" s="1"/>
      <c r="Q3" s="1"/>
      <c r="R3" s="1"/>
      <c r="S3" s="1"/>
      <c r="T3" s="1"/>
      <c r="U3" s="1"/>
      <c r="V3" s="1"/>
      <c r="W3" s="1"/>
      <c r="X3" s="1"/>
      <c r="AA3" s="1"/>
    </row>
    <row r="4" spans="1:56" s="2" customFormat="1" ht="42.6" customHeight="1">
      <c r="A4" s="379" t="s">
        <v>1353</v>
      </c>
      <c r="B4" s="379" t="s">
        <v>113</v>
      </c>
      <c r="C4" s="374" t="s">
        <v>1328</v>
      </c>
      <c r="D4" s="374" t="s">
        <v>1354</v>
      </c>
      <c r="E4" s="374" t="s">
        <v>255</v>
      </c>
      <c r="F4" s="374" t="s">
        <v>265</v>
      </c>
      <c r="G4" s="374" t="s">
        <v>1330</v>
      </c>
      <c r="H4" s="374" t="s">
        <v>1331</v>
      </c>
      <c r="I4" s="375" t="s">
        <v>1332</v>
      </c>
      <c r="J4" s="374" t="s">
        <v>1333</v>
      </c>
      <c r="K4" s="374" t="s">
        <v>1335</v>
      </c>
      <c r="L4" s="374" t="s">
        <v>1334</v>
      </c>
      <c r="M4" s="375" t="s">
        <v>1339</v>
      </c>
      <c r="N4" s="375" t="s">
        <v>329</v>
      </c>
      <c r="O4" s="374" t="s">
        <v>1337</v>
      </c>
      <c r="P4" s="374" t="s">
        <v>1336</v>
      </c>
      <c r="Q4" s="374" t="s">
        <v>1355</v>
      </c>
      <c r="R4" s="374" t="s">
        <v>1356</v>
      </c>
      <c r="S4" s="376" t="s">
        <v>1341</v>
      </c>
      <c r="T4" s="376" t="s">
        <v>1342</v>
      </c>
      <c r="U4" s="376" t="s">
        <v>1343</v>
      </c>
      <c r="V4" s="377" t="s">
        <v>1344</v>
      </c>
      <c r="W4" s="376" t="s">
        <v>1345</v>
      </c>
      <c r="X4" s="376" t="s">
        <v>1346</v>
      </c>
      <c r="Y4" s="377" t="s">
        <v>1347</v>
      </c>
      <c r="Z4" s="377" t="s">
        <v>1348</v>
      </c>
      <c r="AA4" s="323" t="s">
        <v>1349</v>
      </c>
      <c r="AB4" s="323" t="s">
        <v>1350</v>
      </c>
      <c r="AC4" s="323" t="s">
        <v>1351</v>
      </c>
    </row>
    <row r="5" spans="1:56" s="2" customFormat="1" ht="42.75">
      <c r="A5" s="50" t="s">
        <v>116</v>
      </c>
      <c r="B5" s="50" t="s">
        <v>117</v>
      </c>
      <c r="C5" s="51" t="s">
        <v>5</v>
      </c>
      <c r="D5" s="51" t="s">
        <v>27</v>
      </c>
      <c r="E5" s="51" t="s">
        <v>7</v>
      </c>
      <c r="F5" s="51" t="s">
        <v>28</v>
      </c>
      <c r="G5" s="51" t="s">
        <v>217</v>
      </c>
      <c r="H5" s="51" t="s">
        <v>218</v>
      </c>
      <c r="I5" s="51" t="s">
        <v>29</v>
      </c>
      <c r="J5" s="51" t="s">
        <v>11</v>
      </c>
      <c r="K5" s="51" t="s">
        <v>114</v>
      </c>
      <c r="L5" s="51" t="s">
        <v>30</v>
      </c>
      <c r="M5" s="51" t="s">
        <v>225</v>
      </c>
      <c r="N5" s="51" t="s">
        <v>15</v>
      </c>
      <c r="O5" s="51" t="s">
        <v>13</v>
      </c>
      <c r="P5" s="51" t="s">
        <v>115</v>
      </c>
      <c r="Q5" s="51" t="s">
        <v>14</v>
      </c>
      <c r="R5" s="51" t="s">
        <v>31</v>
      </c>
      <c r="S5" s="52" t="s">
        <v>17</v>
      </c>
      <c r="T5" s="53" t="s">
        <v>18</v>
      </c>
      <c r="U5" s="53" t="s">
        <v>19</v>
      </c>
      <c r="V5" s="54" t="s">
        <v>32</v>
      </c>
      <c r="W5" s="308" t="s">
        <v>20</v>
      </c>
      <c r="X5" s="308" t="s">
        <v>21</v>
      </c>
      <c r="Y5" s="54" t="s">
        <v>22</v>
      </c>
      <c r="Z5" s="55" t="s">
        <v>23</v>
      </c>
      <c r="AA5" s="56" t="s">
        <v>24</v>
      </c>
      <c r="AB5" s="56" t="s">
        <v>3</v>
      </c>
      <c r="AC5" s="57" t="s">
        <v>25</v>
      </c>
    </row>
    <row r="6" spans="1:56" ht="15" customHeight="1">
      <c r="A6" s="331" t="str">
        <f>Prototype[[#This Row],[Company]] &amp; "-" &amp; Prototype[[#This Row],[Department]] &amp; "-" &amp; $AM$2 &amp; "-" &amp; TEXT(COUNTIF(INDEX(Prototype[Department],1):Prototype[[#This Row],[Department]],Prototype[[#This Row],[Department]]),"0000")</f>
        <v>CIRQUE-All--0001</v>
      </c>
      <c r="B6" s="297"/>
      <c r="C6" s="6"/>
      <c r="D6" s="7"/>
      <c r="E6" s="6"/>
      <c r="F6" s="6"/>
      <c r="G6" s="6"/>
      <c r="H6" s="295"/>
      <c r="I6" s="295"/>
      <c r="J6" s="6"/>
      <c r="K6" s="8"/>
      <c r="L6" s="8"/>
      <c r="M6" s="329"/>
      <c r="N6" s="8"/>
      <c r="O6" s="6"/>
      <c r="P6" s="8"/>
      <c r="Q6" s="9"/>
      <c r="R6" s="6"/>
      <c r="S6" s="7"/>
      <c r="T6" s="7"/>
      <c r="U6" s="7"/>
      <c r="V6" s="68">
        <f>MAX(S6:U6)</f>
        <v>0</v>
      </c>
      <c r="W6" s="7"/>
      <c r="X6" s="7"/>
      <c r="Y6" s="10">
        <f>MAXA(W6-X6,1)</f>
        <v>1</v>
      </c>
      <c r="Z6" s="11">
        <f>V6*Y6</f>
        <v>0</v>
      </c>
      <c r="AA6" s="6"/>
      <c r="AB6" s="298" t="str">
        <f>$F$2</f>
        <v>CIRQUE</v>
      </c>
      <c r="AC6" s="299" t="str">
        <f>$H$2</f>
        <v>All</v>
      </c>
      <c r="AV6" s="4"/>
      <c r="AW6" s="4"/>
      <c r="AX6" s="4"/>
      <c r="AY6" s="4"/>
      <c r="AZ6" s="4"/>
      <c r="BA6" s="4"/>
      <c r="BB6" s="4"/>
      <c r="BC6" s="4"/>
      <c r="BD6" s="4"/>
    </row>
  </sheetData>
  <phoneticPr fontId="1"/>
  <conditionalFormatting sqref="Z6">
    <cfRule type="cellIs" dxfId="11" priority="1" operator="greaterThan">
      <formula>6</formula>
    </cfRule>
    <cfRule type="cellIs" dxfId="10" priority="2" operator="between">
      <formula>4</formula>
      <formula>6</formula>
    </cfRule>
    <cfRule type="cellIs" dxfId="9" priority="3" operator="lessThan">
      <formula>4</formula>
    </cfRule>
  </conditionalFormatting>
  <dataValidations count="12">
    <dataValidation type="list" allowBlank="1" showInputMessage="1" showErrorMessage="1" sqref="L6:L1048576" xr:uid="{909E1B27-86E3-4AD5-B06D-7ACD6491ADC6}">
      <formula1>Business_Area</formula1>
    </dataValidation>
    <dataValidation type="list" allowBlank="1" showInputMessage="1" showErrorMessage="1" sqref="F6:F1048576" xr:uid="{E195319E-AFCB-4434-B3E2-4AC3A92FDD57}">
      <formula1>Customer_Name</formula1>
    </dataValidation>
    <dataValidation type="list" allowBlank="1" showInputMessage="1" showErrorMessage="1" sqref="E6:E1048576" xr:uid="{0342636F-07A6-4748-8527-B5D2EEE317FE}">
      <formula1>Critical_Information_Classification</formula1>
    </dataValidation>
    <dataValidation type="list" allowBlank="1" showInputMessage="1" showErrorMessage="1" sqref="D6:D1048576" xr:uid="{AD33CFE9-7EDE-4EA2-A35B-DB79BAA8B50D}">
      <formula1>Required_Protect_Class</formula1>
    </dataValidation>
    <dataValidation type="list" allowBlank="1" showInputMessage="1" showErrorMessage="1" sqref="O6:O1048576" xr:uid="{CDC0CE65-3BA7-4AC3-9599-0C616DB395BA}">
      <formula1>Media_form</formula1>
    </dataValidation>
    <dataValidation type="list" allowBlank="1" showInputMessage="1" showErrorMessage="1" sqref="G6:G1048576" xr:uid="{B16D07C2-6367-4DD7-9701-DAB5D6586592}">
      <formula1>Category_N</formula1>
    </dataValidation>
    <dataValidation type="list" allowBlank="1" showInputMessage="1" showErrorMessage="1" sqref="X6:X1048576 AG7:AG1048576" xr:uid="{7C69FF4A-118A-4EA4-9746-168F5AA169C4}">
      <formula1>Vulnerability_Class</formula1>
    </dataValidation>
    <dataValidation type="list" allowBlank="1" showInputMessage="1" showErrorMessage="1" sqref="W6:W1048576 AF7:AF1048576" xr:uid="{39EC3CBA-AC2F-4676-B8FF-61709EFEFE30}">
      <formula1>Threat_probality_Class</formula1>
    </dataValidation>
    <dataValidation type="list" allowBlank="1" showInputMessage="1" showErrorMessage="1" sqref="U6:U1048576 AD7:AD1048576" xr:uid="{FB499A0C-AC27-49A4-95F6-BE4C2536266B}">
      <formula1>Availability</formula1>
    </dataValidation>
    <dataValidation type="list" allowBlank="1" showInputMessage="1" showErrorMessage="1" sqref="T6:T1048576" xr:uid="{D8132DFD-6210-4323-A77D-2F63EF616E07}">
      <formula1>Integrity</formula1>
    </dataValidation>
    <dataValidation type="list" allowBlank="1" showInputMessage="1" showErrorMessage="1" sqref="S6:S1048576" xr:uid="{8B2D12FD-C0DF-4C80-9062-4706C58E0882}">
      <formula1>Confidentiality</formula1>
    </dataValidation>
    <dataValidation type="list" allowBlank="1" showInputMessage="1" showErrorMessage="1" sqref="K7:L1048576 H6:H1048576" xr:uid="{AC4E2C11-2916-4679-8FAD-D5E9F0948BAF}">
      <formula1>Information_Category</formula1>
    </dataValidation>
  </dataValidations>
  <printOptions horizontalCentered="1"/>
  <pageMargins left="0.19685039370078741" right="0.19685039370078741" top="0.19685039370078741" bottom="0.19685039370078741" header="0.31496062992125984" footer="0.31496062992125984"/>
  <pageSetup paperSize="13" orientation="portrait" horizontalDpi="1200" verticalDpi="120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6800A-DF41-4A2E-B749-BE352484CAC7}">
  <sheetPr codeName="Sheet3">
    <tabColor rgb="FF66CCFF"/>
  </sheetPr>
  <dimension ref="A1:AT100"/>
  <sheetViews>
    <sheetView zoomScaleNormal="100" workbookViewId="0">
      <pane xSplit="1" ySplit="5" topLeftCell="L83" activePane="bottomRight" state="frozen"/>
      <selection pane="topRight" activeCell="B1" sqref="B1"/>
      <selection pane="bottomLeft" activeCell="A11" sqref="A11"/>
      <selection pane="bottomRight" activeCell="W3" sqref="W3"/>
    </sheetView>
  </sheetViews>
  <sheetFormatPr defaultColWidth="2.625" defaultRowHeight="14.25" outlineLevelRow="1"/>
  <cols>
    <col min="1" max="1" width="27.125" style="2" customWidth="1"/>
    <col min="2" max="2" width="12.125" style="2" customWidth="1"/>
    <col min="3" max="3" width="16.375" style="1" bestFit="1" customWidth="1"/>
    <col min="4" max="4" width="17.375" style="2" bestFit="1" customWidth="1"/>
    <col min="5" max="5" width="16.625" style="2" bestFit="1" customWidth="1"/>
    <col min="6" max="6" width="16.25" style="2" bestFit="1" customWidth="1"/>
    <col min="7" max="7" width="29.125" style="1" customWidth="1"/>
    <col min="8" max="8" width="30.375" style="1" bestFit="1" customWidth="1"/>
    <col min="9" max="9" width="20.375" bestFit="1" customWidth="1"/>
    <col min="10" max="10" width="25" style="1" bestFit="1" customWidth="1"/>
    <col min="11" max="11" width="21.125" bestFit="1" customWidth="1"/>
    <col min="12" max="12" width="43.75" bestFit="1" customWidth="1"/>
    <col min="13" max="13" width="43.75" customWidth="1"/>
    <col min="14" max="14" width="18.125" bestFit="1" customWidth="1"/>
    <col min="15" max="15" width="43.75" bestFit="1" customWidth="1"/>
    <col min="16" max="16" width="15.75" bestFit="1" customWidth="1"/>
    <col min="17" max="17" width="26.5" bestFit="1" customWidth="1"/>
    <col min="18" max="18" width="10.625" bestFit="1" customWidth="1"/>
    <col min="19" max="19" width="19.75" bestFit="1" customWidth="1"/>
    <col min="20" max="20" width="21.125" style="1" bestFit="1" customWidth="1"/>
    <col min="21" max="21" width="18.875" bestFit="1" customWidth="1"/>
    <col min="22" max="22" width="13.625" bestFit="1" customWidth="1"/>
    <col min="23" max="23" width="15.5" bestFit="1" customWidth="1"/>
    <col min="24" max="24" width="16.625" bestFit="1" customWidth="1"/>
    <col min="25" max="25" width="26.125" bestFit="1" customWidth="1"/>
    <col min="26" max="26" width="22.75" bestFit="1" customWidth="1"/>
    <col min="27" max="27" width="34.375" bestFit="1" customWidth="1"/>
    <col min="28" max="28" width="25.375" bestFit="1" customWidth="1"/>
    <col min="29" max="29" width="24.25" style="1" bestFit="1" customWidth="1"/>
    <col min="30" max="30" width="18.875" bestFit="1" customWidth="1"/>
    <col min="31" max="31" width="13.625" style="1" bestFit="1" customWidth="1"/>
    <col min="32" max="32" width="15.5" style="1" bestFit="1" customWidth="1"/>
    <col min="33" max="33" width="17.75" style="2" bestFit="1" customWidth="1"/>
    <col min="34" max="34" width="26.125" style="2" bestFit="1" customWidth="1"/>
    <col min="35" max="35" width="22.75" style="2" bestFit="1" customWidth="1"/>
    <col min="36" max="36" width="13.75" style="2" bestFit="1" customWidth="1"/>
    <col min="37" max="37" width="16.375" bestFit="1" customWidth="1"/>
    <col min="38" max="38" width="37.75" bestFit="1" customWidth="1"/>
    <col min="39" max="39" width="29.75" bestFit="1" customWidth="1"/>
    <col min="40" max="40" width="26.875" style="1" bestFit="1" customWidth="1"/>
    <col min="41" max="41" width="21.875" style="1" bestFit="1" customWidth="1"/>
    <col min="42" max="42" width="29" style="1" bestFit="1" customWidth="1"/>
    <col min="43" max="43" width="20.375" style="1" bestFit="1" customWidth="1"/>
    <col min="44" max="44" width="13.375" style="1" bestFit="1" customWidth="1"/>
    <col min="45" max="45" width="13.75" style="1" bestFit="1" customWidth="1"/>
    <col min="46" max="46" width="16.375" style="1" bestFit="1" customWidth="1"/>
    <col min="47" max="47" width="134.875" style="1" bestFit="1" customWidth="1"/>
    <col min="48" max="48" width="7.625" style="1" bestFit="1" customWidth="1"/>
    <col min="49" max="49" width="7.25" style="1" bestFit="1" customWidth="1"/>
    <col min="50" max="50" width="31.375" style="1" customWidth="1"/>
    <col min="51" max="51" width="9.25" style="1" bestFit="1" customWidth="1"/>
    <col min="52" max="52" width="5.75" style="1" bestFit="1" customWidth="1"/>
    <col min="53" max="53" width="6.5" style="1" bestFit="1" customWidth="1"/>
    <col min="54" max="54" width="6" style="1" bestFit="1" customWidth="1"/>
    <col min="55" max="55" width="14.125" style="1" bestFit="1" customWidth="1"/>
    <col min="56" max="56" width="16" style="1" customWidth="1"/>
    <col min="57" max="57" width="16.25" style="1" customWidth="1"/>
    <col min="58" max="58" width="17.25" style="1" customWidth="1"/>
    <col min="59" max="16384" width="2.625" style="1"/>
  </cols>
  <sheetData>
    <row r="1" spans="1:46" ht="21.2" customHeight="1">
      <c r="A1" s="100" t="s">
        <v>1357</v>
      </c>
      <c r="B1" s="4"/>
      <c r="D1" s="4"/>
      <c r="E1" s="100"/>
      <c r="F1" s="4"/>
      <c r="G1" s="4"/>
      <c r="H1" s="4"/>
      <c r="I1" s="4"/>
      <c r="J1" s="4"/>
      <c r="K1" s="1"/>
      <c r="L1" s="126" t="s">
        <v>1358</v>
      </c>
      <c r="M1" s="126"/>
      <c r="N1" s="126"/>
      <c r="O1" s="126"/>
      <c r="P1" s="4"/>
      <c r="Q1" s="4"/>
      <c r="R1" s="4"/>
      <c r="S1" s="4"/>
      <c r="U1" s="4"/>
      <c r="V1" s="4"/>
      <c r="W1" s="4"/>
      <c r="X1" s="4"/>
      <c r="Y1" s="4"/>
      <c r="Z1" s="4"/>
      <c r="AA1" s="4"/>
      <c r="AB1" s="4"/>
      <c r="AD1" s="1"/>
      <c r="AG1" s="1"/>
      <c r="AH1" s="1"/>
      <c r="AI1" s="1"/>
      <c r="AJ1" s="1"/>
      <c r="AK1" s="1"/>
      <c r="AT1" s="4"/>
    </row>
    <row r="2" spans="1:46" ht="15.95" customHeight="1" outlineLevel="1">
      <c r="A2" s="3" t="s">
        <v>0</v>
      </c>
      <c r="B2" s="3" t="s">
        <v>1</v>
      </c>
      <c r="C2" s="3" t="s">
        <v>2</v>
      </c>
      <c r="D2" s="1"/>
      <c r="E2" s="2" t="s">
        <v>3</v>
      </c>
      <c r="F2" s="2" t="s">
        <v>795</v>
      </c>
      <c r="G2" s="2" t="s">
        <v>25</v>
      </c>
      <c r="H2" s="2" t="s">
        <v>796</v>
      </c>
      <c r="I2" s="1" t="s">
        <v>38</v>
      </c>
      <c r="K2" s="1"/>
      <c r="L2" s="1"/>
      <c r="M2" s="1"/>
      <c r="N2" s="1"/>
      <c r="O2" s="1"/>
      <c r="P2" s="1"/>
      <c r="Q2" s="1"/>
      <c r="R2" s="1"/>
      <c r="S2" s="1"/>
      <c r="U2" s="1"/>
      <c r="V2" s="1"/>
      <c r="W2" s="1"/>
      <c r="X2" s="1"/>
      <c r="Y2" s="1"/>
      <c r="Z2" s="1"/>
      <c r="AA2" s="1"/>
      <c r="AB2" s="1"/>
      <c r="AD2" s="1"/>
      <c r="AG2" s="1"/>
      <c r="AH2" s="1"/>
      <c r="AI2" s="1"/>
      <c r="AJ2" s="1"/>
      <c r="AK2" s="1"/>
      <c r="AS2" s="1" t="s">
        <v>38</v>
      </c>
      <c r="AT2" s="2" t="s">
        <v>38</v>
      </c>
    </row>
    <row r="3" spans="1:46" ht="65.25" customHeight="1" outlineLevel="1">
      <c r="A3" s="371"/>
      <c r="B3" s="371"/>
      <c r="C3" s="371"/>
      <c r="D3" s="1"/>
      <c r="E3" s="1"/>
      <c r="F3" s="1"/>
      <c r="I3" s="1"/>
      <c r="K3" s="1"/>
      <c r="L3" s="1"/>
      <c r="M3" s="1"/>
      <c r="N3" s="1"/>
      <c r="O3" s="1"/>
      <c r="P3" s="1"/>
      <c r="Q3" s="1"/>
      <c r="R3" s="1"/>
      <c r="S3" s="1"/>
      <c r="U3" s="1"/>
      <c r="V3" s="1"/>
      <c r="W3" s="1"/>
      <c r="X3" s="1"/>
      <c r="Y3" s="1"/>
      <c r="Z3" s="1"/>
      <c r="AA3" s="1"/>
      <c r="AB3" s="1"/>
      <c r="AD3" s="1"/>
      <c r="AG3" s="1"/>
      <c r="AH3" s="1"/>
      <c r="AI3" s="1"/>
      <c r="AJ3" s="1"/>
      <c r="AK3" s="1"/>
    </row>
    <row r="4" spans="1:46" s="5" customFormat="1" ht="45" customHeight="1">
      <c r="A4" s="379" t="s">
        <v>1353</v>
      </c>
      <c r="B4" s="379" t="s">
        <v>113</v>
      </c>
      <c r="C4" s="380" t="s">
        <v>1328</v>
      </c>
      <c r="D4" s="380" t="s">
        <v>1354</v>
      </c>
      <c r="E4" s="380" t="s">
        <v>1330</v>
      </c>
      <c r="F4" s="380" t="s">
        <v>1359</v>
      </c>
      <c r="G4" s="380" t="s">
        <v>1333</v>
      </c>
      <c r="H4" s="381" t="s">
        <v>402</v>
      </c>
      <c r="I4" s="380" t="s">
        <v>1335</v>
      </c>
      <c r="J4" s="42" t="s">
        <v>1360</v>
      </c>
      <c r="K4" s="381" t="s">
        <v>1361</v>
      </c>
      <c r="L4" s="375" t="s">
        <v>1339</v>
      </c>
      <c r="M4" s="375" t="s">
        <v>329</v>
      </c>
      <c r="N4" s="374" t="s">
        <v>1362</v>
      </c>
      <c r="O4" s="380" t="s">
        <v>1363</v>
      </c>
      <c r="P4" s="380" t="s">
        <v>1356</v>
      </c>
      <c r="Q4" s="380" t="s">
        <v>1364</v>
      </c>
      <c r="R4" s="380" t="s">
        <v>1365</v>
      </c>
      <c r="S4" s="380" t="s">
        <v>1366</v>
      </c>
      <c r="T4" s="382" t="s">
        <v>1367</v>
      </c>
      <c r="U4" s="383" t="s">
        <v>1341</v>
      </c>
      <c r="V4" s="383" t="s">
        <v>1342</v>
      </c>
      <c r="W4" s="383" t="s">
        <v>1343</v>
      </c>
      <c r="X4" s="384" t="s">
        <v>1344</v>
      </c>
      <c r="Y4" s="383" t="s">
        <v>1345</v>
      </c>
      <c r="Z4" s="383" t="s">
        <v>1346</v>
      </c>
      <c r="AA4" s="384" t="s">
        <v>1347</v>
      </c>
      <c r="AB4" s="384" t="s">
        <v>1348</v>
      </c>
      <c r="AC4" s="380" t="s">
        <v>1368</v>
      </c>
      <c r="AD4" s="380" t="s">
        <v>1369</v>
      </c>
      <c r="AE4" s="380" t="s">
        <v>1370</v>
      </c>
      <c r="AF4" s="380" t="s">
        <v>1371</v>
      </c>
      <c r="AG4" s="380" t="s">
        <v>1372</v>
      </c>
      <c r="AH4" s="380" t="s">
        <v>1373</v>
      </c>
      <c r="AI4" s="31" t="s">
        <v>1349</v>
      </c>
      <c r="AJ4" s="31" t="s">
        <v>1350</v>
      </c>
      <c r="AK4" s="31" t="s">
        <v>1351</v>
      </c>
    </row>
    <row r="5" spans="1:46" s="2" customFormat="1" ht="25.9" customHeight="1">
      <c r="A5" s="315" t="s">
        <v>116</v>
      </c>
      <c r="B5" s="315" t="s">
        <v>113</v>
      </c>
      <c r="C5" s="61" t="s">
        <v>5</v>
      </c>
      <c r="D5" s="61" t="s">
        <v>27</v>
      </c>
      <c r="E5" s="61" t="s">
        <v>39</v>
      </c>
      <c r="F5" s="61" t="s">
        <v>29</v>
      </c>
      <c r="G5" s="61" t="s">
        <v>11</v>
      </c>
      <c r="H5" s="316" t="s">
        <v>40</v>
      </c>
      <c r="I5" s="51" t="s">
        <v>41</v>
      </c>
      <c r="J5" s="51" t="s">
        <v>42</v>
      </c>
      <c r="K5" s="316" t="s">
        <v>43</v>
      </c>
      <c r="L5" s="61" t="s">
        <v>225</v>
      </c>
      <c r="M5" s="51" t="s">
        <v>15</v>
      </c>
      <c r="N5" s="61" t="s">
        <v>13</v>
      </c>
      <c r="O5" s="316" t="s">
        <v>788</v>
      </c>
      <c r="P5" s="61" t="s">
        <v>44</v>
      </c>
      <c r="Q5" s="61" t="s">
        <v>216</v>
      </c>
      <c r="R5" s="61" t="s">
        <v>207</v>
      </c>
      <c r="S5" s="61" t="s">
        <v>208</v>
      </c>
      <c r="T5" s="317" t="s">
        <v>193</v>
      </c>
      <c r="U5" s="318" t="s">
        <v>17</v>
      </c>
      <c r="V5" s="319" t="s">
        <v>18</v>
      </c>
      <c r="W5" s="319" t="s">
        <v>19</v>
      </c>
      <c r="X5" s="320" t="s">
        <v>32</v>
      </c>
      <c r="Y5" s="321" t="s">
        <v>20</v>
      </c>
      <c r="Z5" s="321" t="s">
        <v>21</v>
      </c>
      <c r="AA5" s="320" t="s">
        <v>22</v>
      </c>
      <c r="AB5" s="322" t="s">
        <v>23</v>
      </c>
      <c r="AC5" s="61" t="s">
        <v>48</v>
      </c>
      <c r="AD5" s="61" t="s">
        <v>49</v>
      </c>
      <c r="AE5" s="61" t="s">
        <v>50</v>
      </c>
      <c r="AF5" s="61" t="s">
        <v>51</v>
      </c>
      <c r="AG5" s="61" t="s">
        <v>52</v>
      </c>
      <c r="AH5" s="313" t="s">
        <v>53</v>
      </c>
      <c r="AI5" s="323" t="s">
        <v>24</v>
      </c>
      <c r="AJ5" s="323" t="s">
        <v>3</v>
      </c>
      <c r="AK5" s="324" t="s">
        <v>25</v>
      </c>
    </row>
    <row r="6" spans="1:46" ht="15" customHeight="1">
      <c r="A6" s="300" t="str">
        <f>Supplement[[#This Row],[Company]] &amp; "-" &amp; Supplement[[#This Row],[Department]] &amp; "-" &amp; $AT$2 &amp; "-" &amp; TEXT(COUNTIF(INDEX(Supplement[Department],1):Supplement[[#This Row],[Department]],Supplement[[#This Row],[Department]]),"0000")</f>
        <v>CIRQUE-All-Suppliment etc-0001</v>
      </c>
      <c r="B6" s="296" t="s">
        <v>921</v>
      </c>
      <c r="C6" s="13" t="s">
        <v>994</v>
      </c>
      <c r="D6" s="15" t="s">
        <v>887</v>
      </c>
      <c r="E6" s="15" t="s">
        <v>890</v>
      </c>
      <c r="F6" s="15" t="s">
        <v>1090</v>
      </c>
      <c r="G6" s="14" t="s">
        <v>899</v>
      </c>
      <c r="H6" s="16"/>
      <c r="I6" s="16" t="s">
        <v>1160</v>
      </c>
      <c r="J6" s="16" t="s">
        <v>1174</v>
      </c>
      <c r="K6" s="13" t="s">
        <v>1176</v>
      </c>
      <c r="L6" s="67" t="s">
        <v>913</v>
      </c>
      <c r="M6" s="13"/>
      <c r="N6" s="67" t="s">
        <v>1177</v>
      </c>
      <c r="O6" s="16" t="s">
        <v>1180</v>
      </c>
      <c r="P6" s="13"/>
      <c r="Q6" s="13"/>
      <c r="R6" s="13"/>
      <c r="S6" s="13"/>
      <c r="T6" s="12"/>
      <c r="U6" s="7">
        <v>2</v>
      </c>
      <c r="V6" s="7">
        <v>1</v>
      </c>
      <c r="W6" s="7">
        <v>1</v>
      </c>
      <c r="X6" s="68">
        <f>MAX(U6:W100)</f>
        <v>3</v>
      </c>
      <c r="Y6" s="7">
        <v>2</v>
      </c>
      <c r="Z6" s="7">
        <v>3</v>
      </c>
      <c r="AA6" s="10">
        <f>MAXA(Y6-Z6,1)</f>
        <v>1</v>
      </c>
      <c r="AB6" s="11">
        <f>X6*AA6</f>
        <v>3</v>
      </c>
      <c r="AC6" s="26"/>
      <c r="AD6" s="17"/>
      <c r="AE6" s="17"/>
      <c r="AF6" s="17"/>
      <c r="AG6" s="17"/>
      <c r="AH6" s="15"/>
      <c r="AI6" s="6"/>
      <c r="AJ6" s="298" t="str">
        <f>$F$2</f>
        <v>CIRQUE</v>
      </c>
      <c r="AK6" s="299" t="str">
        <f>$H$2</f>
        <v>All</v>
      </c>
      <c r="AL6" s="1"/>
      <c r="AM6" s="1"/>
    </row>
    <row r="7" spans="1:46">
      <c r="A7" s="332" t="str">
        <f>Supplement[[#This Row],[Company]] &amp; "-" &amp; Supplement[[#This Row],[Department]] &amp; "-" &amp; $AT$2 &amp; "-" &amp; TEXT(COUNTIF(INDEX(Supplement[Department],1):Supplement[[#This Row],[Department]],Supplement[[#This Row],[Department]]),"0000")</f>
        <v>CIRQUE-All-Suppliment etc-0002</v>
      </c>
      <c r="B7" s="348" t="s">
        <v>922</v>
      </c>
      <c r="C7" s="16" t="s">
        <v>995</v>
      </c>
      <c r="D7" s="349" t="s">
        <v>887</v>
      </c>
      <c r="E7" s="349" t="s">
        <v>890</v>
      </c>
      <c r="F7" s="349" t="s">
        <v>1090</v>
      </c>
      <c r="G7" s="14" t="s">
        <v>899</v>
      </c>
      <c r="H7" s="342"/>
      <c r="I7" s="16" t="s">
        <v>1160</v>
      </c>
      <c r="J7" s="16" t="s">
        <v>1174</v>
      </c>
      <c r="K7" s="16"/>
      <c r="L7" s="67" t="s">
        <v>913</v>
      </c>
      <c r="M7" s="13"/>
      <c r="N7" s="67" t="s">
        <v>1177</v>
      </c>
      <c r="O7" s="16" t="s">
        <v>1180</v>
      </c>
      <c r="P7" s="13"/>
      <c r="Q7" s="13"/>
      <c r="R7" s="14"/>
      <c r="S7" s="14"/>
      <c r="T7" s="354"/>
      <c r="U7" s="7">
        <v>2</v>
      </c>
      <c r="V7" s="7">
        <v>1</v>
      </c>
      <c r="W7" s="7">
        <v>1</v>
      </c>
      <c r="X7" s="10">
        <f t="shared" ref="X7:X38" si="0">MAX(U7:W101)</f>
        <v>3</v>
      </c>
      <c r="Y7" s="7">
        <v>2</v>
      </c>
      <c r="Z7" s="7">
        <v>3</v>
      </c>
      <c r="AA7" s="10">
        <f t="shared" ref="AA7:AA38" si="1">MAXA(Y7-Z7,1)</f>
        <v>1</v>
      </c>
      <c r="AB7" s="11">
        <f t="shared" ref="AB7:AB38" si="2">X7*AA7</f>
        <v>3</v>
      </c>
      <c r="AC7" s="356"/>
      <c r="AD7" s="17"/>
      <c r="AE7" s="357"/>
      <c r="AF7" s="357"/>
      <c r="AG7" s="358"/>
      <c r="AH7" s="349"/>
      <c r="AI7" s="7"/>
      <c r="AJ7" s="10" t="str">
        <f t="shared" ref="AJ7:AJ38" si="3">$F$2</f>
        <v>CIRQUE</v>
      </c>
      <c r="AK7" s="299" t="str">
        <f t="shared" ref="AK7:AK38" si="4">$H$2</f>
        <v>All</v>
      </c>
    </row>
    <row r="8" spans="1:46">
      <c r="A8" s="332" t="str">
        <f>Supplement[[#This Row],[Company]] &amp; "-" &amp; Supplement[[#This Row],[Department]] &amp; "-" &amp; $AT$2 &amp; "-" &amp; TEXT(COUNTIF(INDEX(Supplement[Department],1):Supplement[[#This Row],[Department]],Supplement[[#This Row],[Department]]),"0000")</f>
        <v>CIRQUE-All-Suppliment etc-0003</v>
      </c>
      <c r="B8" s="348" t="s">
        <v>921</v>
      </c>
      <c r="C8" s="16" t="s">
        <v>996</v>
      </c>
      <c r="D8" s="350" t="s">
        <v>887</v>
      </c>
      <c r="E8" s="350" t="s">
        <v>890</v>
      </c>
      <c r="F8" s="349" t="s">
        <v>1090</v>
      </c>
      <c r="G8" s="14" t="s">
        <v>899</v>
      </c>
      <c r="H8" s="342"/>
      <c r="I8" s="351" t="s">
        <v>1160</v>
      </c>
      <c r="J8" s="351" t="s">
        <v>1174</v>
      </c>
      <c r="K8" s="16"/>
      <c r="L8" s="67" t="s">
        <v>913</v>
      </c>
      <c r="M8" s="13"/>
      <c r="N8" s="67" t="s">
        <v>1177</v>
      </c>
      <c r="O8" s="16" t="s">
        <v>1180</v>
      </c>
      <c r="P8" s="352"/>
      <c r="Q8" s="352"/>
      <c r="R8" s="353"/>
      <c r="S8" s="353"/>
      <c r="T8" s="355"/>
      <c r="U8" s="7">
        <v>2</v>
      </c>
      <c r="V8" s="7">
        <v>1</v>
      </c>
      <c r="W8" s="7">
        <v>1</v>
      </c>
      <c r="X8" s="10">
        <f t="shared" si="0"/>
        <v>3</v>
      </c>
      <c r="Y8" s="7">
        <v>2</v>
      </c>
      <c r="Z8" s="7">
        <v>3</v>
      </c>
      <c r="AA8" s="10">
        <f t="shared" si="1"/>
        <v>1</v>
      </c>
      <c r="AB8" s="11">
        <f t="shared" si="2"/>
        <v>3</v>
      </c>
      <c r="AC8" s="356"/>
      <c r="AD8" s="17"/>
      <c r="AE8" s="357"/>
      <c r="AF8" s="357"/>
      <c r="AG8" s="358"/>
      <c r="AH8" s="349"/>
      <c r="AI8" s="7"/>
      <c r="AJ8" s="10" t="str">
        <f t="shared" si="3"/>
        <v>CIRQUE</v>
      </c>
      <c r="AK8" s="299" t="str">
        <f t="shared" si="4"/>
        <v>All</v>
      </c>
    </row>
    <row r="9" spans="1:46">
      <c r="A9" s="332" t="str">
        <f>Supplement[[#This Row],[Company]] &amp; "-" &amp; Supplement[[#This Row],[Department]] &amp; "-" &amp; $AT$2 &amp; "-" &amp; TEXT(COUNTIF(INDEX(Supplement[Department],1):Supplement[[#This Row],[Department]],Supplement[[#This Row],[Department]]),"0000")</f>
        <v>CIRQUE-All-Suppliment etc-0004</v>
      </c>
      <c r="B9" s="348" t="s">
        <v>922</v>
      </c>
      <c r="C9" s="16" t="s">
        <v>997</v>
      </c>
      <c r="D9" s="350" t="s">
        <v>887</v>
      </c>
      <c r="E9" s="350" t="s">
        <v>890</v>
      </c>
      <c r="F9" s="349" t="s">
        <v>1090</v>
      </c>
      <c r="G9" s="14" t="s">
        <v>899</v>
      </c>
      <c r="H9" s="342"/>
      <c r="I9" s="351" t="s">
        <v>1160</v>
      </c>
      <c r="J9" s="351" t="s">
        <v>1174</v>
      </c>
      <c r="K9" s="16"/>
      <c r="L9" s="67" t="s">
        <v>913</v>
      </c>
      <c r="M9" s="13"/>
      <c r="N9" s="67" t="s">
        <v>1177</v>
      </c>
      <c r="O9" s="16" t="s">
        <v>1180</v>
      </c>
      <c r="P9" s="352"/>
      <c r="Q9" s="352"/>
      <c r="R9" s="353"/>
      <c r="S9" s="353"/>
      <c r="T9" s="355"/>
      <c r="U9" s="7">
        <v>2</v>
      </c>
      <c r="V9" s="7">
        <v>1</v>
      </c>
      <c r="W9" s="7">
        <v>1</v>
      </c>
      <c r="X9" s="10">
        <f t="shared" si="0"/>
        <v>3</v>
      </c>
      <c r="Y9" s="7">
        <v>2</v>
      </c>
      <c r="Z9" s="7">
        <v>3</v>
      </c>
      <c r="AA9" s="10">
        <f t="shared" si="1"/>
        <v>1</v>
      </c>
      <c r="AB9" s="11">
        <f t="shared" si="2"/>
        <v>3</v>
      </c>
      <c r="AC9" s="356"/>
      <c r="AD9" s="17"/>
      <c r="AE9" s="357"/>
      <c r="AF9" s="357"/>
      <c r="AG9" s="358"/>
      <c r="AH9" s="349"/>
      <c r="AI9" s="7"/>
      <c r="AJ9" s="10" t="str">
        <f t="shared" si="3"/>
        <v>CIRQUE</v>
      </c>
      <c r="AK9" s="299" t="str">
        <f t="shared" si="4"/>
        <v>All</v>
      </c>
    </row>
    <row r="10" spans="1:46">
      <c r="A10" s="332" t="str">
        <f>Supplement[[#This Row],[Company]] &amp; "-" &amp; Supplement[[#This Row],[Department]] &amp; "-" &amp; $AT$2 &amp; "-" &amp; TEXT(COUNTIF(INDEX(Supplement[Department],1):Supplement[[#This Row],[Department]],Supplement[[#This Row],[Department]]),"0000")</f>
        <v>CIRQUE-All-Suppliment etc-0005</v>
      </c>
      <c r="B10" s="348" t="s">
        <v>921</v>
      </c>
      <c r="C10" s="16" t="s">
        <v>998</v>
      </c>
      <c r="D10" s="350" t="s">
        <v>887</v>
      </c>
      <c r="E10" s="350" t="s">
        <v>890</v>
      </c>
      <c r="F10" s="349" t="s">
        <v>1090</v>
      </c>
      <c r="G10" s="14" t="s">
        <v>899</v>
      </c>
      <c r="H10" s="342"/>
      <c r="I10" s="351" t="s">
        <v>1160</v>
      </c>
      <c r="J10" s="351" t="s">
        <v>1174</v>
      </c>
      <c r="K10" s="16"/>
      <c r="L10" s="67" t="s">
        <v>913</v>
      </c>
      <c r="M10" s="13"/>
      <c r="N10" s="67" t="s">
        <v>1177</v>
      </c>
      <c r="O10" s="16" t="s">
        <v>1180</v>
      </c>
      <c r="P10" s="352"/>
      <c r="Q10" s="352"/>
      <c r="R10" s="353"/>
      <c r="S10" s="353"/>
      <c r="T10" s="355"/>
      <c r="U10" s="7">
        <v>2</v>
      </c>
      <c r="V10" s="7">
        <v>1</v>
      </c>
      <c r="W10" s="7">
        <v>1</v>
      </c>
      <c r="X10" s="10">
        <f t="shared" si="0"/>
        <v>3</v>
      </c>
      <c r="Y10" s="7">
        <v>2</v>
      </c>
      <c r="Z10" s="7">
        <v>3</v>
      </c>
      <c r="AA10" s="10">
        <f t="shared" si="1"/>
        <v>1</v>
      </c>
      <c r="AB10" s="11">
        <f t="shared" si="2"/>
        <v>3</v>
      </c>
      <c r="AC10" s="356"/>
      <c r="AD10" s="17"/>
      <c r="AE10" s="357"/>
      <c r="AF10" s="357"/>
      <c r="AG10" s="358"/>
      <c r="AH10" s="349"/>
      <c r="AI10" s="7"/>
      <c r="AJ10" s="10" t="str">
        <f t="shared" si="3"/>
        <v>CIRQUE</v>
      </c>
      <c r="AK10" s="299" t="str">
        <f t="shared" si="4"/>
        <v>All</v>
      </c>
    </row>
    <row r="11" spans="1:46">
      <c r="A11" s="332" t="str">
        <f>Supplement[[#This Row],[Company]] &amp; "-" &amp; Supplement[[#This Row],[Department]] &amp; "-" &amp; $AT$2 &amp; "-" &amp; TEXT(COUNTIF(INDEX(Supplement[Department],1):Supplement[[#This Row],[Department]],Supplement[[#This Row],[Department]]),"0000")</f>
        <v>CIRQUE-All-Suppliment etc-0006</v>
      </c>
      <c r="B11" s="348" t="s">
        <v>922</v>
      </c>
      <c r="C11" s="16" t="s">
        <v>999</v>
      </c>
      <c r="D11" s="350" t="s">
        <v>887</v>
      </c>
      <c r="E11" s="350" t="s">
        <v>890</v>
      </c>
      <c r="F11" s="349" t="s">
        <v>1090</v>
      </c>
      <c r="G11" s="14" t="s">
        <v>899</v>
      </c>
      <c r="H11" s="342"/>
      <c r="I11" s="351" t="s">
        <v>1160</v>
      </c>
      <c r="J11" s="351" t="s">
        <v>1174</v>
      </c>
      <c r="K11" s="16"/>
      <c r="L11" s="67" t="s">
        <v>913</v>
      </c>
      <c r="M11" s="13"/>
      <c r="N11" s="67" t="s">
        <v>1177</v>
      </c>
      <c r="O11" s="16" t="s">
        <v>1180</v>
      </c>
      <c r="P11" s="352"/>
      <c r="Q11" s="352"/>
      <c r="R11" s="353"/>
      <c r="S11" s="353"/>
      <c r="T11" s="355"/>
      <c r="U11" s="7">
        <v>2</v>
      </c>
      <c r="V11" s="7">
        <v>1</v>
      </c>
      <c r="W11" s="7">
        <v>1</v>
      </c>
      <c r="X11" s="10">
        <f t="shared" si="0"/>
        <v>3</v>
      </c>
      <c r="Y11" s="7">
        <v>2</v>
      </c>
      <c r="Z11" s="7">
        <v>3</v>
      </c>
      <c r="AA11" s="10">
        <f t="shared" si="1"/>
        <v>1</v>
      </c>
      <c r="AB11" s="11">
        <f t="shared" si="2"/>
        <v>3</v>
      </c>
      <c r="AC11" s="356"/>
      <c r="AD11" s="17"/>
      <c r="AE11" s="357"/>
      <c r="AF11" s="357"/>
      <c r="AG11" s="358"/>
      <c r="AH11" s="349"/>
      <c r="AI11" s="7"/>
      <c r="AJ11" s="10" t="str">
        <f t="shared" si="3"/>
        <v>CIRQUE</v>
      </c>
      <c r="AK11" s="299" t="str">
        <f t="shared" si="4"/>
        <v>All</v>
      </c>
    </row>
    <row r="12" spans="1:46">
      <c r="A12" s="332" t="str">
        <f>Supplement[[#This Row],[Company]] &amp; "-" &amp; Supplement[[#This Row],[Department]] &amp; "-" &amp; $AT$2 &amp; "-" &amp; TEXT(COUNTIF(INDEX(Supplement[Department],1):Supplement[[#This Row],[Department]],Supplement[[#This Row],[Department]]),"0000")</f>
        <v>CIRQUE-All-Suppliment etc-0007</v>
      </c>
      <c r="B12" s="348" t="s">
        <v>923</v>
      </c>
      <c r="C12" s="16" t="s">
        <v>1000</v>
      </c>
      <c r="D12" s="350" t="s">
        <v>887</v>
      </c>
      <c r="E12" s="350" t="s">
        <v>890</v>
      </c>
      <c r="F12" s="349" t="s">
        <v>1090</v>
      </c>
      <c r="G12" s="14" t="s">
        <v>899</v>
      </c>
      <c r="H12" s="342"/>
      <c r="I12" s="351" t="s">
        <v>1161</v>
      </c>
      <c r="J12" s="351" t="s">
        <v>1174</v>
      </c>
      <c r="K12" s="16"/>
      <c r="L12" s="67" t="s">
        <v>913</v>
      </c>
      <c r="M12" s="13"/>
      <c r="N12" s="67" t="s">
        <v>1177</v>
      </c>
      <c r="O12" s="16" t="s">
        <v>1180</v>
      </c>
      <c r="P12" s="352"/>
      <c r="Q12" s="352"/>
      <c r="R12" s="353"/>
      <c r="S12" s="353"/>
      <c r="T12" s="355"/>
      <c r="U12" s="7">
        <v>2</v>
      </c>
      <c r="V12" s="7">
        <v>1</v>
      </c>
      <c r="W12" s="7">
        <v>1</v>
      </c>
      <c r="X12" s="10">
        <f t="shared" si="0"/>
        <v>3</v>
      </c>
      <c r="Y12" s="7">
        <v>2</v>
      </c>
      <c r="Z12" s="7">
        <v>3</v>
      </c>
      <c r="AA12" s="10">
        <f t="shared" si="1"/>
        <v>1</v>
      </c>
      <c r="AB12" s="11">
        <f t="shared" si="2"/>
        <v>3</v>
      </c>
      <c r="AC12" s="356"/>
      <c r="AD12" s="17"/>
      <c r="AE12" s="357"/>
      <c r="AF12" s="357"/>
      <c r="AG12" s="358"/>
      <c r="AH12" s="349"/>
      <c r="AI12" s="7"/>
      <c r="AJ12" s="10" t="str">
        <f t="shared" si="3"/>
        <v>CIRQUE</v>
      </c>
      <c r="AK12" s="299" t="str">
        <f t="shared" si="4"/>
        <v>All</v>
      </c>
    </row>
    <row r="13" spans="1:46">
      <c r="A13" s="332" t="str">
        <f>Supplement[[#This Row],[Company]] &amp; "-" &amp; Supplement[[#This Row],[Department]] &amp; "-" &amp; $AT$2 &amp; "-" &amp; TEXT(COUNTIF(INDEX(Supplement[Department],1):Supplement[[#This Row],[Department]],Supplement[[#This Row],[Department]]),"0000")</f>
        <v>CIRQUE-All-Suppliment etc-0008</v>
      </c>
      <c r="B13" s="348" t="s">
        <v>924</v>
      </c>
      <c r="C13" s="16" t="s">
        <v>1001</v>
      </c>
      <c r="D13" s="350" t="s">
        <v>887</v>
      </c>
      <c r="E13" s="350" t="s">
        <v>890</v>
      </c>
      <c r="F13" s="349" t="s">
        <v>1090</v>
      </c>
      <c r="G13" s="14" t="s">
        <v>899</v>
      </c>
      <c r="H13" s="342"/>
      <c r="I13" s="351" t="s">
        <v>1162</v>
      </c>
      <c r="J13" s="351" t="s">
        <v>1174</v>
      </c>
      <c r="K13" s="16"/>
      <c r="L13" s="67" t="s">
        <v>913</v>
      </c>
      <c r="M13" s="13"/>
      <c r="N13" s="67" t="s">
        <v>1177</v>
      </c>
      <c r="O13" s="16" t="s">
        <v>1180</v>
      </c>
      <c r="P13" s="352"/>
      <c r="Q13" s="352"/>
      <c r="R13" s="353"/>
      <c r="S13" s="353"/>
      <c r="T13" s="355"/>
      <c r="U13" s="7">
        <v>2</v>
      </c>
      <c r="V13" s="7">
        <v>1</v>
      </c>
      <c r="W13" s="7">
        <v>1</v>
      </c>
      <c r="X13" s="10">
        <f t="shared" si="0"/>
        <v>3</v>
      </c>
      <c r="Y13" s="7">
        <v>2</v>
      </c>
      <c r="Z13" s="7">
        <v>3</v>
      </c>
      <c r="AA13" s="10">
        <f t="shared" si="1"/>
        <v>1</v>
      </c>
      <c r="AB13" s="11">
        <f t="shared" si="2"/>
        <v>3</v>
      </c>
      <c r="AC13" s="356"/>
      <c r="AD13" s="17"/>
      <c r="AE13" s="357"/>
      <c r="AF13" s="357"/>
      <c r="AG13" s="358"/>
      <c r="AH13" s="349"/>
      <c r="AI13" s="7"/>
      <c r="AJ13" s="10" t="str">
        <f t="shared" si="3"/>
        <v>CIRQUE</v>
      </c>
      <c r="AK13" s="299" t="str">
        <f t="shared" si="4"/>
        <v>All</v>
      </c>
    </row>
    <row r="14" spans="1:46">
      <c r="A14" s="332" t="str">
        <f>Supplement[[#This Row],[Company]] &amp; "-" &amp; Supplement[[#This Row],[Department]] &amp; "-" &amp; $AT$2 &amp; "-" &amp; TEXT(COUNTIF(INDEX(Supplement[Department],1):Supplement[[#This Row],[Department]],Supplement[[#This Row],[Department]]),"0000")</f>
        <v>CIRQUE-All-Suppliment etc-0009</v>
      </c>
      <c r="B14" s="348" t="s">
        <v>925</v>
      </c>
      <c r="C14" s="16" t="s">
        <v>1002</v>
      </c>
      <c r="D14" s="350" t="s">
        <v>887</v>
      </c>
      <c r="E14" s="350" t="s">
        <v>890</v>
      </c>
      <c r="F14" s="349" t="s">
        <v>1090</v>
      </c>
      <c r="G14" s="14" t="s">
        <v>899</v>
      </c>
      <c r="H14" s="342"/>
      <c r="I14" s="351" t="s">
        <v>1163</v>
      </c>
      <c r="J14" s="351" t="s">
        <v>1174</v>
      </c>
      <c r="K14" s="16"/>
      <c r="L14" s="67" t="s">
        <v>913</v>
      </c>
      <c r="M14" s="13"/>
      <c r="N14" s="67" t="s">
        <v>1177</v>
      </c>
      <c r="O14" s="16" t="s">
        <v>1180</v>
      </c>
      <c r="P14" s="352"/>
      <c r="Q14" s="352"/>
      <c r="R14" s="353"/>
      <c r="S14" s="353"/>
      <c r="T14" s="355"/>
      <c r="U14" s="7">
        <v>2</v>
      </c>
      <c r="V14" s="7">
        <v>1</v>
      </c>
      <c r="W14" s="7">
        <v>1</v>
      </c>
      <c r="X14" s="10">
        <f t="shared" si="0"/>
        <v>3</v>
      </c>
      <c r="Y14" s="7">
        <v>2</v>
      </c>
      <c r="Z14" s="7">
        <v>3</v>
      </c>
      <c r="AA14" s="10">
        <f t="shared" si="1"/>
        <v>1</v>
      </c>
      <c r="AB14" s="11">
        <f t="shared" si="2"/>
        <v>3</v>
      </c>
      <c r="AC14" s="356"/>
      <c r="AD14" s="17"/>
      <c r="AE14" s="357"/>
      <c r="AF14" s="357"/>
      <c r="AG14" s="358"/>
      <c r="AH14" s="349"/>
      <c r="AI14" s="7"/>
      <c r="AJ14" s="10" t="str">
        <f t="shared" si="3"/>
        <v>CIRQUE</v>
      </c>
      <c r="AK14" s="299" t="str">
        <f t="shared" si="4"/>
        <v>All</v>
      </c>
    </row>
    <row r="15" spans="1:46">
      <c r="A15" s="332" t="str">
        <f>Supplement[[#This Row],[Company]] &amp; "-" &amp; Supplement[[#This Row],[Department]] &amp; "-" &amp; $AT$2 &amp; "-" &amp; TEXT(COUNTIF(INDEX(Supplement[Department],1):Supplement[[#This Row],[Department]],Supplement[[#This Row],[Department]]),"0000")</f>
        <v>CIRQUE-All-Suppliment etc-0010</v>
      </c>
      <c r="B15" s="348" t="s">
        <v>926</v>
      </c>
      <c r="C15" s="16" t="s">
        <v>1003</v>
      </c>
      <c r="D15" s="350" t="s">
        <v>887</v>
      </c>
      <c r="E15" s="350" t="s">
        <v>890</v>
      </c>
      <c r="F15" s="349" t="s">
        <v>1090</v>
      </c>
      <c r="G15" s="14" t="s">
        <v>899</v>
      </c>
      <c r="H15" s="342"/>
      <c r="I15" s="351" t="s">
        <v>1162</v>
      </c>
      <c r="J15" s="351" t="s">
        <v>1174</v>
      </c>
      <c r="K15" s="16"/>
      <c r="L15" s="67" t="s">
        <v>913</v>
      </c>
      <c r="M15" s="13"/>
      <c r="N15" s="67" t="s">
        <v>1177</v>
      </c>
      <c r="O15" s="16" t="s">
        <v>1180</v>
      </c>
      <c r="P15" s="352"/>
      <c r="Q15" s="352"/>
      <c r="R15" s="353"/>
      <c r="S15" s="353"/>
      <c r="T15" s="355"/>
      <c r="U15" s="7">
        <v>2</v>
      </c>
      <c r="V15" s="7">
        <v>1</v>
      </c>
      <c r="W15" s="7">
        <v>1</v>
      </c>
      <c r="X15" s="10">
        <f t="shared" si="0"/>
        <v>3</v>
      </c>
      <c r="Y15" s="7">
        <v>2</v>
      </c>
      <c r="Z15" s="7">
        <v>3</v>
      </c>
      <c r="AA15" s="10">
        <f t="shared" si="1"/>
        <v>1</v>
      </c>
      <c r="AB15" s="11">
        <f t="shared" si="2"/>
        <v>3</v>
      </c>
      <c r="AC15" s="356"/>
      <c r="AD15" s="17"/>
      <c r="AE15" s="357"/>
      <c r="AF15" s="357"/>
      <c r="AG15" s="358"/>
      <c r="AH15" s="349"/>
      <c r="AI15" s="7"/>
      <c r="AJ15" s="10" t="str">
        <f t="shared" si="3"/>
        <v>CIRQUE</v>
      </c>
      <c r="AK15" s="299" t="str">
        <f t="shared" si="4"/>
        <v>All</v>
      </c>
    </row>
    <row r="16" spans="1:46">
      <c r="A16" s="332" t="str">
        <f>Supplement[[#This Row],[Company]] &amp; "-" &amp; Supplement[[#This Row],[Department]] &amp; "-" &amp; $AT$2 &amp; "-" &amp; TEXT(COUNTIF(INDEX(Supplement[Department],1):Supplement[[#This Row],[Department]],Supplement[[#This Row],[Department]]),"0000")</f>
        <v>CIRQUE-All-Suppliment etc-0011</v>
      </c>
      <c r="B16" s="348" t="s">
        <v>927</v>
      </c>
      <c r="C16" s="16" t="s">
        <v>1004</v>
      </c>
      <c r="D16" s="350" t="s">
        <v>887</v>
      </c>
      <c r="E16" s="350" t="s">
        <v>890</v>
      </c>
      <c r="F16" s="349" t="s">
        <v>1090</v>
      </c>
      <c r="G16" s="14" t="s">
        <v>899</v>
      </c>
      <c r="H16" s="342"/>
      <c r="I16" s="351" t="s">
        <v>1164</v>
      </c>
      <c r="J16" s="351" t="s">
        <v>1174</v>
      </c>
      <c r="K16" s="16"/>
      <c r="L16" s="67" t="s">
        <v>913</v>
      </c>
      <c r="M16" s="13"/>
      <c r="N16" s="67" t="s">
        <v>1177</v>
      </c>
      <c r="O16" s="16" t="s">
        <v>1180</v>
      </c>
      <c r="P16" s="352"/>
      <c r="Q16" s="352"/>
      <c r="R16" s="353"/>
      <c r="S16" s="353"/>
      <c r="T16" s="355"/>
      <c r="U16" s="7">
        <v>2</v>
      </c>
      <c r="V16" s="7">
        <v>1</v>
      </c>
      <c r="W16" s="7">
        <v>1</v>
      </c>
      <c r="X16" s="10">
        <f t="shared" si="0"/>
        <v>3</v>
      </c>
      <c r="Y16" s="7">
        <v>2</v>
      </c>
      <c r="Z16" s="7">
        <v>3</v>
      </c>
      <c r="AA16" s="10">
        <f t="shared" si="1"/>
        <v>1</v>
      </c>
      <c r="AB16" s="11">
        <f t="shared" si="2"/>
        <v>3</v>
      </c>
      <c r="AC16" s="356"/>
      <c r="AD16" s="17"/>
      <c r="AE16" s="357"/>
      <c r="AF16" s="357"/>
      <c r="AG16" s="358"/>
      <c r="AH16" s="349"/>
      <c r="AI16" s="7"/>
      <c r="AJ16" s="10" t="str">
        <f t="shared" si="3"/>
        <v>CIRQUE</v>
      </c>
      <c r="AK16" s="299" t="str">
        <f t="shared" si="4"/>
        <v>All</v>
      </c>
    </row>
    <row r="17" spans="1:37">
      <c r="A17" s="332" t="str">
        <f>Supplement[[#This Row],[Company]] &amp; "-" &amp; Supplement[[#This Row],[Department]] &amp; "-" &amp; $AT$2 &amp; "-" &amp; TEXT(COUNTIF(INDEX(Supplement[Department],1):Supplement[[#This Row],[Department]],Supplement[[#This Row],[Department]]),"0000")</f>
        <v>CIRQUE-All-Suppliment etc-0012</v>
      </c>
      <c r="B17" s="348" t="s">
        <v>928</v>
      </c>
      <c r="C17" s="16" t="s">
        <v>1005</v>
      </c>
      <c r="D17" s="350" t="s">
        <v>887</v>
      </c>
      <c r="E17" s="350" t="s">
        <v>890</v>
      </c>
      <c r="F17" s="349" t="s">
        <v>1090</v>
      </c>
      <c r="G17" s="14" t="s">
        <v>899</v>
      </c>
      <c r="H17" s="342"/>
      <c r="I17" s="351" t="s">
        <v>1165</v>
      </c>
      <c r="J17" s="351" t="s">
        <v>1174</v>
      </c>
      <c r="K17" s="16"/>
      <c r="L17" s="67" t="s">
        <v>913</v>
      </c>
      <c r="M17" s="13"/>
      <c r="N17" s="67" t="s">
        <v>1177</v>
      </c>
      <c r="O17" s="16" t="s">
        <v>1181</v>
      </c>
      <c r="P17" s="352"/>
      <c r="Q17" s="352"/>
      <c r="R17" s="353"/>
      <c r="S17" s="353"/>
      <c r="T17" s="355"/>
      <c r="U17" s="7">
        <v>2</v>
      </c>
      <c r="V17" s="7">
        <v>1</v>
      </c>
      <c r="W17" s="7">
        <v>1</v>
      </c>
      <c r="X17" s="10">
        <f t="shared" si="0"/>
        <v>3</v>
      </c>
      <c r="Y17" s="7">
        <v>2</v>
      </c>
      <c r="Z17" s="7">
        <v>3</v>
      </c>
      <c r="AA17" s="10">
        <f t="shared" si="1"/>
        <v>1</v>
      </c>
      <c r="AB17" s="11">
        <f t="shared" si="2"/>
        <v>3</v>
      </c>
      <c r="AC17" s="356"/>
      <c r="AD17" s="17"/>
      <c r="AE17" s="357"/>
      <c r="AF17" s="357"/>
      <c r="AG17" s="358"/>
      <c r="AH17" s="349"/>
      <c r="AI17" s="7"/>
      <c r="AJ17" s="10" t="str">
        <f t="shared" si="3"/>
        <v>CIRQUE</v>
      </c>
      <c r="AK17" s="299" t="str">
        <f t="shared" si="4"/>
        <v>All</v>
      </c>
    </row>
    <row r="18" spans="1:37">
      <c r="A18" s="332" t="str">
        <f>Supplement[[#This Row],[Company]] &amp; "-" &amp; Supplement[[#This Row],[Department]] &amp; "-" &amp; $AT$2 &amp; "-" &amp; TEXT(COUNTIF(INDEX(Supplement[Department],1):Supplement[[#This Row],[Department]],Supplement[[#This Row],[Department]]),"0000")</f>
        <v>CIRQUE-All-Suppliment etc-0013</v>
      </c>
      <c r="B18" s="348" t="s">
        <v>929</v>
      </c>
      <c r="C18" s="16" t="s">
        <v>1006</v>
      </c>
      <c r="D18" s="350" t="s">
        <v>887</v>
      </c>
      <c r="E18" s="350" t="s">
        <v>890</v>
      </c>
      <c r="F18" s="349" t="s">
        <v>1090</v>
      </c>
      <c r="G18" s="14" t="s">
        <v>899</v>
      </c>
      <c r="H18" s="342"/>
      <c r="I18" s="351" t="s">
        <v>1166</v>
      </c>
      <c r="J18" s="351" t="s">
        <v>1174</v>
      </c>
      <c r="K18" s="16"/>
      <c r="L18" s="67" t="s">
        <v>913</v>
      </c>
      <c r="M18" s="13"/>
      <c r="N18" s="67" t="s">
        <v>1177</v>
      </c>
      <c r="O18" s="16" t="s">
        <v>1182</v>
      </c>
      <c r="P18" s="352"/>
      <c r="Q18" s="352"/>
      <c r="R18" s="353"/>
      <c r="S18" s="353"/>
      <c r="T18" s="355"/>
      <c r="U18" s="7">
        <v>2</v>
      </c>
      <c r="V18" s="7">
        <v>1</v>
      </c>
      <c r="W18" s="7">
        <v>1</v>
      </c>
      <c r="X18" s="10">
        <f t="shared" si="0"/>
        <v>3</v>
      </c>
      <c r="Y18" s="7">
        <v>2</v>
      </c>
      <c r="Z18" s="7">
        <v>3</v>
      </c>
      <c r="AA18" s="10">
        <f t="shared" si="1"/>
        <v>1</v>
      </c>
      <c r="AB18" s="11">
        <f t="shared" si="2"/>
        <v>3</v>
      </c>
      <c r="AC18" s="356"/>
      <c r="AD18" s="17"/>
      <c r="AE18" s="357"/>
      <c r="AF18" s="357"/>
      <c r="AG18" s="358"/>
      <c r="AH18" s="349"/>
      <c r="AI18" s="7"/>
      <c r="AJ18" s="10" t="str">
        <f t="shared" si="3"/>
        <v>CIRQUE</v>
      </c>
      <c r="AK18" s="299" t="str">
        <f t="shared" si="4"/>
        <v>All</v>
      </c>
    </row>
    <row r="19" spans="1:37">
      <c r="A19" s="332" t="str">
        <f>Supplement[[#This Row],[Company]] &amp; "-" &amp; Supplement[[#This Row],[Department]] &amp; "-" &amp; $AT$2 &amp; "-" &amp; TEXT(COUNTIF(INDEX(Supplement[Department],1):Supplement[[#This Row],[Department]],Supplement[[#This Row],[Department]]),"0000")</f>
        <v>CIRQUE-All-Suppliment etc-0014</v>
      </c>
      <c r="B19" s="348" t="s">
        <v>930</v>
      </c>
      <c r="C19" s="16" t="s">
        <v>1007</v>
      </c>
      <c r="D19" s="350" t="s">
        <v>887</v>
      </c>
      <c r="E19" s="350" t="s">
        <v>890</v>
      </c>
      <c r="F19" s="349" t="s">
        <v>1090</v>
      </c>
      <c r="G19" s="14" t="s">
        <v>899</v>
      </c>
      <c r="H19" s="342"/>
      <c r="I19" s="351" t="s">
        <v>1167</v>
      </c>
      <c r="J19" s="351" t="s">
        <v>1174</v>
      </c>
      <c r="K19" s="16"/>
      <c r="L19" s="67" t="s">
        <v>913</v>
      </c>
      <c r="M19" s="13"/>
      <c r="N19" s="67" t="s">
        <v>1177</v>
      </c>
      <c r="O19" s="16" t="s">
        <v>1181</v>
      </c>
      <c r="P19" s="352"/>
      <c r="Q19" s="352"/>
      <c r="R19" s="353"/>
      <c r="S19" s="353"/>
      <c r="T19" s="355"/>
      <c r="U19" s="7">
        <v>2</v>
      </c>
      <c r="V19" s="7">
        <v>1</v>
      </c>
      <c r="W19" s="7">
        <v>1</v>
      </c>
      <c r="X19" s="10">
        <f t="shared" si="0"/>
        <v>3</v>
      </c>
      <c r="Y19" s="7">
        <v>2</v>
      </c>
      <c r="Z19" s="7">
        <v>3</v>
      </c>
      <c r="AA19" s="10">
        <f t="shared" si="1"/>
        <v>1</v>
      </c>
      <c r="AB19" s="11">
        <f t="shared" si="2"/>
        <v>3</v>
      </c>
      <c r="AC19" s="356"/>
      <c r="AD19" s="17"/>
      <c r="AE19" s="357"/>
      <c r="AF19" s="357"/>
      <c r="AG19" s="358"/>
      <c r="AH19" s="349"/>
      <c r="AI19" s="7"/>
      <c r="AJ19" s="10" t="str">
        <f t="shared" si="3"/>
        <v>CIRQUE</v>
      </c>
      <c r="AK19" s="299" t="str">
        <f t="shared" si="4"/>
        <v>All</v>
      </c>
    </row>
    <row r="20" spans="1:37">
      <c r="A20" s="332" t="str">
        <f>Supplement[[#This Row],[Company]] &amp; "-" &amp; Supplement[[#This Row],[Department]] &amp; "-" &amp; $AT$2 &amp; "-" &amp; TEXT(COUNTIF(INDEX(Supplement[Department],1):Supplement[[#This Row],[Department]],Supplement[[#This Row],[Department]]),"0000")</f>
        <v>CIRQUE-All-Suppliment etc-0015</v>
      </c>
      <c r="B20" s="348" t="s">
        <v>931</v>
      </c>
      <c r="C20" s="16" t="s">
        <v>1008</v>
      </c>
      <c r="D20" s="350" t="s">
        <v>887</v>
      </c>
      <c r="E20" s="350" t="s">
        <v>890</v>
      </c>
      <c r="F20" s="349" t="s">
        <v>1090</v>
      </c>
      <c r="G20" s="14" t="s">
        <v>899</v>
      </c>
      <c r="H20" s="342"/>
      <c r="I20" s="351" t="s">
        <v>1162</v>
      </c>
      <c r="J20" s="351" t="s">
        <v>1174</v>
      </c>
      <c r="K20" s="16"/>
      <c r="L20" s="67" t="s">
        <v>913</v>
      </c>
      <c r="M20" s="13"/>
      <c r="N20" s="67" t="s">
        <v>1177</v>
      </c>
      <c r="O20" s="16" t="s">
        <v>1183</v>
      </c>
      <c r="P20" s="352"/>
      <c r="Q20" s="352"/>
      <c r="R20" s="353"/>
      <c r="S20" s="353"/>
      <c r="T20" s="355"/>
      <c r="U20" s="7">
        <v>2</v>
      </c>
      <c r="V20" s="7">
        <v>1</v>
      </c>
      <c r="W20" s="7">
        <v>1</v>
      </c>
      <c r="X20" s="10">
        <f t="shared" si="0"/>
        <v>3</v>
      </c>
      <c r="Y20" s="7">
        <v>2</v>
      </c>
      <c r="Z20" s="7">
        <v>3</v>
      </c>
      <c r="AA20" s="10">
        <f t="shared" si="1"/>
        <v>1</v>
      </c>
      <c r="AB20" s="11">
        <f t="shared" si="2"/>
        <v>3</v>
      </c>
      <c r="AC20" s="356"/>
      <c r="AD20" s="17"/>
      <c r="AE20" s="357"/>
      <c r="AF20" s="357"/>
      <c r="AG20" s="358"/>
      <c r="AH20" s="349"/>
      <c r="AI20" s="7"/>
      <c r="AJ20" s="10" t="str">
        <f t="shared" si="3"/>
        <v>CIRQUE</v>
      </c>
      <c r="AK20" s="299" t="str">
        <f t="shared" si="4"/>
        <v>All</v>
      </c>
    </row>
    <row r="21" spans="1:37">
      <c r="A21" s="332" t="str">
        <f>Supplement[[#This Row],[Company]] &amp; "-" &amp; Supplement[[#This Row],[Department]] &amp; "-" &amp; $AT$2 &amp; "-" &amp; TEXT(COUNTIF(INDEX(Supplement[Department],1):Supplement[[#This Row],[Department]],Supplement[[#This Row],[Department]]),"0000")</f>
        <v>CIRQUE-All-Suppliment etc-0016</v>
      </c>
      <c r="B21" s="348" t="s">
        <v>932</v>
      </c>
      <c r="C21" s="16" t="s">
        <v>1009</v>
      </c>
      <c r="D21" s="350" t="s">
        <v>887</v>
      </c>
      <c r="E21" s="350" t="s">
        <v>890</v>
      </c>
      <c r="F21" s="349" t="s">
        <v>1090</v>
      </c>
      <c r="G21" s="14" t="s">
        <v>899</v>
      </c>
      <c r="H21" s="342"/>
      <c r="I21" s="351" t="s">
        <v>1168</v>
      </c>
      <c r="J21" s="351" t="s">
        <v>1174</v>
      </c>
      <c r="K21" s="16"/>
      <c r="L21" s="67" t="s">
        <v>913</v>
      </c>
      <c r="M21" s="13"/>
      <c r="N21" s="67" t="s">
        <v>1177</v>
      </c>
      <c r="O21" s="16" t="s">
        <v>1180</v>
      </c>
      <c r="P21" s="352"/>
      <c r="Q21" s="352"/>
      <c r="R21" s="353"/>
      <c r="S21" s="353"/>
      <c r="T21" s="355"/>
      <c r="U21" s="7">
        <v>2</v>
      </c>
      <c r="V21" s="7">
        <v>1</v>
      </c>
      <c r="W21" s="7">
        <v>1</v>
      </c>
      <c r="X21" s="10">
        <f t="shared" si="0"/>
        <v>3</v>
      </c>
      <c r="Y21" s="7">
        <v>2</v>
      </c>
      <c r="Z21" s="7">
        <v>3</v>
      </c>
      <c r="AA21" s="10">
        <f t="shared" si="1"/>
        <v>1</v>
      </c>
      <c r="AB21" s="11">
        <f t="shared" si="2"/>
        <v>3</v>
      </c>
      <c r="AC21" s="356"/>
      <c r="AD21" s="17"/>
      <c r="AE21" s="357"/>
      <c r="AF21" s="357"/>
      <c r="AG21" s="358"/>
      <c r="AH21" s="349"/>
      <c r="AI21" s="7"/>
      <c r="AJ21" s="10" t="str">
        <f t="shared" si="3"/>
        <v>CIRQUE</v>
      </c>
      <c r="AK21" s="299" t="str">
        <f t="shared" si="4"/>
        <v>All</v>
      </c>
    </row>
    <row r="22" spans="1:37">
      <c r="A22" s="332" t="str">
        <f>Supplement[[#This Row],[Company]] &amp; "-" &amp; Supplement[[#This Row],[Department]] &amp; "-" &amp; $AT$2 &amp; "-" &amp; TEXT(COUNTIF(INDEX(Supplement[Department],1):Supplement[[#This Row],[Department]],Supplement[[#This Row],[Department]]),"0000")</f>
        <v>CIRQUE-All-Suppliment etc-0017</v>
      </c>
      <c r="B22" s="348" t="s">
        <v>933</v>
      </c>
      <c r="C22" s="16" t="s">
        <v>1010</v>
      </c>
      <c r="D22" s="350" t="s">
        <v>887</v>
      </c>
      <c r="E22" s="350" t="s">
        <v>890</v>
      </c>
      <c r="F22" s="349" t="s">
        <v>1090</v>
      </c>
      <c r="G22" s="14" t="s">
        <v>899</v>
      </c>
      <c r="H22" s="342"/>
      <c r="I22" s="351"/>
      <c r="J22" s="351" t="s">
        <v>1174</v>
      </c>
      <c r="K22" s="16"/>
      <c r="L22" s="67" t="s">
        <v>913</v>
      </c>
      <c r="M22" s="13"/>
      <c r="N22" s="67" t="s">
        <v>1177</v>
      </c>
      <c r="O22" s="16" t="s">
        <v>1184</v>
      </c>
      <c r="P22" s="352"/>
      <c r="Q22" s="352"/>
      <c r="R22" s="353"/>
      <c r="S22" s="353"/>
      <c r="T22" s="355"/>
      <c r="U22" s="7">
        <v>2</v>
      </c>
      <c r="V22" s="7">
        <v>1</v>
      </c>
      <c r="W22" s="7">
        <v>1</v>
      </c>
      <c r="X22" s="10">
        <f t="shared" si="0"/>
        <v>3</v>
      </c>
      <c r="Y22" s="7">
        <v>2</v>
      </c>
      <c r="Z22" s="7">
        <v>3</v>
      </c>
      <c r="AA22" s="10">
        <f t="shared" si="1"/>
        <v>1</v>
      </c>
      <c r="AB22" s="11">
        <f t="shared" si="2"/>
        <v>3</v>
      </c>
      <c r="AC22" s="356"/>
      <c r="AD22" s="17"/>
      <c r="AE22" s="357"/>
      <c r="AF22" s="357"/>
      <c r="AG22" s="358"/>
      <c r="AH22" s="349"/>
      <c r="AI22" s="7"/>
      <c r="AJ22" s="10" t="str">
        <f t="shared" si="3"/>
        <v>CIRQUE</v>
      </c>
      <c r="AK22" s="299" t="str">
        <f t="shared" si="4"/>
        <v>All</v>
      </c>
    </row>
    <row r="23" spans="1:37">
      <c r="A23" s="332" t="str">
        <f>Supplement[[#This Row],[Company]] &amp; "-" &amp; Supplement[[#This Row],[Department]] &amp; "-" &amp; $AT$2 &amp; "-" &amp; TEXT(COUNTIF(INDEX(Supplement[Department],1):Supplement[[#This Row],[Department]],Supplement[[#This Row],[Department]]),"0000")</f>
        <v>CIRQUE-All-Suppliment etc-0018</v>
      </c>
      <c r="B23" s="348" t="s">
        <v>934</v>
      </c>
      <c r="C23" s="16" t="s">
        <v>1011</v>
      </c>
      <c r="D23" s="350" t="s">
        <v>887</v>
      </c>
      <c r="E23" s="350" t="s">
        <v>890</v>
      </c>
      <c r="F23" s="349" t="s">
        <v>1091</v>
      </c>
      <c r="G23" s="14" t="s">
        <v>899</v>
      </c>
      <c r="H23" s="342"/>
      <c r="I23" s="351" t="s">
        <v>1169</v>
      </c>
      <c r="J23" s="351" t="s">
        <v>1174</v>
      </c>
      <c r="K23" s="16"/>
      <c r="L23" s="67" t="s">
        <v>913</v>
      </c>
      <c r="M23" s="13"/>
      <c r="N23" s="67" t="s">
        <v>1177</v>
      </c>
      <c r="O23" s="16" t="s">
        <v>1185</v>
      </c>
      <c r="P23" s="352"/>
      <c r="Q23" s="352"/>
      <c r="R23" s="353"/>
      <c r="S23" s="353"/>
      <c r="T23" s="355"/>
      <c r="U23" s="7">
        <v>2</v>
      </c>
      <c r="V23" s="7">
        <v>1</v>
      </c>
      <c r="W23" s="7">
        <v>1</v>
      </c>
      <c r="X23" s="10">
        <f t="shared" si="0"/>
        <v>3</v>
      </c>
      <c r="Y23" s="7">
        <v>2</v>
      </c>
      <c r="Z23" s="7">
        <v>3</v>
      </c>
      <c r="AA23" s="10">
        <f t="shared" si="1"/>
        <v>1</v>
      </c>
      <c r="AB23" s="11">
        <f t="shared" si="2"/>
        <v>3</v>
      </c>
      <c r="AC23" s="356"/>
      <c r="AD23" s="17"/>
      <c r="AE23" s="357"/>
      <c r="AF23" s="357"/>
      <c r="AG23" s="358"/>
      <c r="AH23" s="349"/>
      <c r="AI23" s="7"/>
      <c r="AJ23" s="10" t="str">
        <f t="shared" si="3"/>
        <v>CIRQUE</v>
      </c>
      <c r="AK23" s="299" t="str">
        <f t="shared" si="4"/>
        <v>All</v>
      </c>
    </row>
    <row r="24" spans="1:37">
      <c r="A24" s="332" t="str">
        <f>Supplement[[#This Row],[Company]] &amp; "-" &amp; Supplement[[#This Row],[Department]] &amp; "-" &amp; $AT$2 &amp; "-" &amp; TEXT(COUNTIF(INDEX(Supplement[Department],1):Supplement[[#This Row],[Department]],Supplement[[#This Row],[Department]]),"0000")</f>
        <v>CIRQUE-All-Suppliment etc-0019</v>
      </c>
      <c r="B24" s="348" t="s">
        <v>935</v>
      </c>
      <c r="C24" s="16" t="s">
        <v>1012</v>
      </c>
      <c r="D24" s="350" t="s">
        <v>887</v>
      </c>
      <c r="E24" s="350" t="s">
        <v>890</v>
      </c>
      <c r="F24" s="349" t="s">
        <v>1092</v>
      </c>
      <c r="G24" s="14" t="s">
        <v>899</v>
      </c>
      <c r="H24" s="342"/>
      <c r="I24" s="351" t="s">
        <v>1169</v>
      </c>
      <c r="J24" s="351" t="s">
        <v>1174</v>
      </c>
      <c r="K24" s="16"/>
      <c r="L24" s="67" t="s">
        <v>913</v>
      </c>
      <c r="M24" s="13"/>
      <c r="N24" s="67" t="s">
        <v>1177</v>
      </c>
      <c r="O24" s="16" t="s">
        <v>1186</v>
      </c>
      <c r="P24" s="352"/>
      <c r="Q24" s="352"/>
      <c r="R24" s="353"/>
      <c r="S24" s="353"/>
      <c r="T24" s="355"/>
      <c r="U24" s="7">
        <v>2</v>
      </c>
      <c r="V24" s="7">
        <v>1</v>
      </c>
      <c r="W24" s="7">
        <v>1</v>
      </c>
      <c r="X24" s="10">
        <f t="shared" si="0"/>
        <v>3</v>
      </c>
      <c r="Y24" s="7">
        <v>2</v>
      </c>
      <c r="Z24" s="7">
        <v>3</v>
      </c>
      <c r="AA24" s="10">
        <f t="shared" si="1"/>
        <v>1</v>
      </c>
      <c r="AB24" s="11">
        <f t="shared" si="2"/>
        <v>3</v>
      </c>
      <c r="AC24" s="356"/>
      <c r="AD24" s="17"/>
      <c r="AE24" s="357"/>
      <c r="AF24" s="357"/>
      <c r="AG24" s="358"/>
      <c r="AH24" s="349"/>
      <c r="AI24" s="7"/>
      <c r="AJ24" s="10" t="str">
        <f t="shared" si="3"/>
        <v>CIRQUE</v>
      </c>
      <c r="AK24" s="299" t="str">
        <f t="shared" si="4"/>
        <v>All</v>
      </c>
    </row>
    <row r="25" spans="1:37">
      <c r="A25" s="332" t="str">
        <f>Supplement[[#This Row],[Company]] &amp; "-" &amp; Supplement[[#This Row],[Department]] &amp; "-" &amp; $AT$2 &amp; "-" &amp; TEXT(COUNTIF(INDEX(Supplement[Department],1):Supplement[[#This Row],[Department]],Supplement[[#This Row],[Department]]),"0000")</f>
        <v>CIRQUE-All-Suppliment etc-0020</v>
      </c>
      <c r="B25" s="348" t="s">
        <v>936</v>
      </c>
      <c r="C25" s="16" t="s">
        <v>1013</v>
      </c>
      <c r="D25" s="350" t="s">
        <v>887</v>
      </c>
      <c r="E25" s="350" t="s">
        <v>890</v>
      </c>
      <c r="F25" s="349" t="s">
        <v>1093</v>
      </c>
      <c r="G25" s="14" t="s">
        <v>899</v>
      </c>
      <c r="H25" s="342"/>
      <c r="I25" s="351" t="s">
        <v>1169</v>
      </c>
      <c r="J25" s="351" t="s">
        <v>1174</v>
      </c>
      <c r="K25" s="16"/>
      <c r="L25" s="67" t="s">
        <v>913</v>
      </c>
      <c r="M25" s="13"/>
      <c r="N25" s="67" t="s">
        <v>1177</v>
      </c>
      <c r="O25" s="16" t="s">
        <v>1187</v>
      </c>
      <c r="P25" s="352"/>
      <c r="Q25" s="352"/>
      <c r="R25" s="353"/>
      <c r="S25" s="353"/>
      <c r="T25" s="355"/>
      <c r="U25" s="7">
        <v>2</v>
      </c>
      <c r="V25" s="7">
        <v>1</v>
      </c>
      <c r="W25" s="7">
        <v>1</v>
      </c>
      <c r="X25" s="10">
        <f t="shared" si="0"/>
        <v>3</v>
      </c>
      <c r="Y25" s="7">
        <v>2</v>
      </c>
      <c r="Z25" s="7">
        <v>3</v>
      </c>
      <c r="AA25" s="10">
        <f t="shared" si="1"/>
        <v>1</v>
      </c>
      <c r="AB25" s="11">
        <f t="shared" si="2"/>
        <v>3</v>
      </c>
      <c r="AC25" s="356"/>
      <c r="AD25" s="17"/>
      <c r="AE25" s="357"/>
      <c r="AF25" s="357"/>
      <c r="AG25" s="358"/>
      <c r="AH25" s="349"/>
      <c r="AI25" s="7"/>
      <c r="AJ25" s="10" t="str">
        <f t="shared" si="3"/>
        <v>CIRQUE</v>
      </c>
      <c r="AK25" s="299" t="str">
        <f t="shared" si="4"/>
        <v>All</v>
      </c>
    </row>
    <row r="26" spans="1:37">
      <c r="A26" s="332" t="str">
        <f>Supplement[[#This Row],[Company]] &amp; "-" &amp; Supplement[[#This Row],[Department]] &amp; "-" &amp; $AT$2 &amp; "-" &amp; TEXT(COUNTIF(INDEX(Supplement[Department],1):Supplement[[#This Row],[Department]],Supplement[[#This Row],[Department]]),"0000")</f>
        <v>CIRQUE-All-Suppliment etc-0021</v>
      </c>
      <c r="B26" s="348">
        <v>0</v>
      </c>
      <c r="C26" s="16" t="s">
        <v>1014</v>
      </c>
      <c r="D26" s="350" t="s">
        <v>887</v>
      </c>
      <c r="E26" s="350" t="s">
        <v>890</v>
      </c>
      <c r="F26" s="349" t="s">
        <v>1094</v>
      </c>
      <c r="G26" s="14" t="s">
        <v>899</v>
      </c>
      <c r="H26" s="342"/>
      <c r="I26" s="351" t="s">
        <v>1169</v>
      </c>
      <c r="J26" s="351" t="s">
        <v>1174</v>
      </c>
      <c r="K26" s="16"/>
      <c r="L26" s="67" t="s">
        <v>913</v>
      </c>
      <c r="M26" s="13"/>
      <c r="N26" s="67" t="s">
        <v>1177</v>
      </c>
      <c r="O26" s="16" t="s">
        <v>1185</v>
      </c>
      <c r="P26" s="352"/>
      <c r="Q26" s="352"/>
      <c r="R26" s="353"/>
      <c r="S26" s="353"/>
      <c r="T26" s="355"/>
      <c r="U26" s="7">
        <v>2</v>
      </c>
      <c r="V26" s="7">
        <v>1</v>
      </c>
      <c r="W26" s="7">
        <v>1</v>
      </c>
      <c r="X26" s="10">
        <f t="shared" si="0"/>
        <v>3</v>
      </c>
      <c r="Y26" s="7">
        <v>2</v>
      </c>
      <c r="Z26" s="7">
        <v>3</v>
      </c>
      <c r="AA26" s="10">
        <f t="shared" si="1"/>
        <v>1</v>
      </c>
      <c r="AB26" s="11">
        <f t="shared" si="2"/>
        <v>3</v>
      </c>
      <c r="AC26" s="356"/>
      <c r="AD26" s="17"/>
      <c r="AE26" s="357"/>
      <c r="AF26" s="357"/>
      <c r="AG26" s="358"/>
      <c r="AH26" s="349"/>
      <c r="AI26" s="7"/>
      <c r="AJ26" s="10" t="str">
        <f t="shared" si="3"/>
        <v>CIRQUE</v>
      </c>
      <c r="AK26" s="299" t="str">
        <f t="shared" si="4"/>
        <v>All</v>
      </c>
    </row>
    <row r="27" spans="1:37">
      <c r="A27" s="332" t="str">
        <f>Supplement[[#This Row],[Company]] &amp; "-" &amp; Supplement[[#This Row],[Department]] &amp; "-" &amp; $AT$2 &amp; "-" &amp; TEXT(COUNTIF(INDEX(Supplement[Department],1):Supplement[[#This Row],[Department]],Supplement[[#This Row],[Department]]),"0000")</f>
        <v>CIRQUE-All-Suppliment etc-0022</v>
      </c>
      <c r="B27" s="348" t="s">
        <v>937</v>
      </c>
      <c r="C27" s="16" t="s">
        <v>1015</v>
      </c>
      <c r="D27" s="350" t="s">
        <v>887</v>
      </c>
      <c r="E27" s="350" t="s">
        <v>890</v>
      </c>
      <c r="F27" s="349" t="s">
        <v>1095</v>
      </c>
      <c r="G27" s="14" t="s">
        <v>899</v>
      </c>
      <c r="H27" s="342"/>
      <c r="I27" s="351" t="s">
        <v>1169</v>
      </c>
      <c r="J27" s="351" t="s">
        <v>1174</v>
      </c>
      <c r="K27" s="16"/>
      <c r="L27" s="67" t="s">
        <v>913</v>
      </c>
      <c r="M27" s="13"/>
      <c r="N27" s="67" t="s">
        <v>1177</v>
      </c>
      <c r="O27" s="16" t="s">
        <v>1188</v>
      </c>
      <c r="P27" s="352"/>
      <c r="Q27" s="352"/>
      <c r="R27" s="353"/>
      <c r="S27" s="353"/>
      <c r="T27" s="355"/>
      <c r="U27" s="7">
        <v>2</v>
      </c>
      <c r="V27" s="7">
        <v>1</v>
      </c>
      <c r="W27" s="7">
        <v>1</v>
      </c>
      <c r="X27" s="10">
        <f t="shared" si="0"/>
        <v>3</v>
      </c>
      <c r="Y27" s="7">
        <v>2</v>
      </c>
      <c r="Z27" s="7">
        <v>3</v>
      </c>
      <c r="AA27" s="10">
        <f t="shared" si="1"/>
        <v>1</v>
      </c>
      <c r="AB27" s="11">
        <f t="shared" si="2"/>
        <v>3</v>
      </c>
      <c r="AC27" s="356"/>
      <c r="AD27" s="17"/>
      <c r="AE27" s="357"/>
      <c r="AF27" s="357"/>
      <c r="AG27" s="358"/>
      <c r="AH27" s="349"/>
      <c r="AI27" s="7"/>
      <c r="AJ27" s="10" t="str">
        <f t="shared" si="3"/>
        <v>CIRQUE</v>
      </c>
      <c r="AK27" s="299" t="str">
        <f t="shared" si="4"/>
        <v>All</v>
      </c>
    </row>
    <row r="28" spans="1:37">
      <c r="A28" s="332" t="str">
        <f>Supplement[[#This Row],[Company]] &amp; "-" &amp; Supplement[[#This Row],[Department]] &amp; "-" &amp; $AT$2 &amp; "-" &amp; TEXT(COUNTIF(INDEX(Supplement[Department],1):Supplement[[#This Row],[Department]],Supplement[[#This Row],[Department]]),"0000")</f>
        <v>CIRQUE-All-Suppliment etc-0023</v>
      </c>
      <c r="B28" s="348" t="s">
        <v>938</v>
      </c>
      <c r="C28" s="16" t="s">
        <v>1016</v>
      </c>
      <c r="D28" s="350" t="s">
        <v>887</v>
      </c>
      <c r="E28" s="350" t="s">
        <v>890</v>
      </c>
      <c r="F28" s="349" t="s">
        <v>1096</v>
      </c>
      <c r="G28" s="14" t="s">
        <v>899</v>
      </c>
      <c r="H28" s="342"/>
      <c r="I28" s="351" t="s">
        <v>1169</v>
      </c>
      <c r="J28" s="351" t="s">
        <v>1174</v>
      </c>
      <c r="K28" s="16"/>
      <c r="L28" s="67" t="s">
        <v>913</v>
      </c>
      <c r="M28" s="13"/>
      <c r="N28" s="67" t="s">
        <v>1177</v>
      </c>
      <c r="O28" s="16" t="s">
        <v>1189</v>
      </c>
      <c r="P28" s="352"/>
      <c r="Q28" s="352"/>
      <c r="R28" s="353"/>
      <c r="S28" s="353"/>
      <c r="T28" s="355"/>
      <c r="U28" s="7">
        <v>2</v>
      </c>
      <c r="V28" s="7">
        <v>1</v>
      </c>
      <c r="W28" s="7">
        <v>1</v>
      </c>
      <c r="X28" s="10">
        <f t="shared" si="0"/>
        <v>3</v>
      </c>
      <c r="Y28" s="7">
        <v>2</v>
      </c>
      <c r="Z28" s="7">
        <v>3</v>
      </c>
      <c r="AA28" s="10">
        <f t="shared" si="1"/>
        <v>1</v>
      </c>
      <c r="AB28" s="11">
        <f t="shared" si="2"/>
        <v>3</v>
      </c>
      <c r="AC28" s="356"/>
      <c r="AD28" s="17"/>
      <c r="AE28" s="357"/>
      <c r="AF28" s="357"/>
      <c r="AG28" s="358"/>
      <c r="AH28" s="349"/>
      <c r="AI28" s="7"/>
      <c r="AJ28" s="10" t="str">
        <f t="shared" si="3"/>
        <v>CIRQUE</v>
      </c>
      <c r="AK28" s="299" t="str">
        <f t="shared" si="4"/>
        <v>All</v>
      </c>
    </row>
    <row r="29" spans="1:37">
      <c r="A29" s="332" t="str">
        <f>Supplement[[#This Row],[Company]] &amp; "-" &amp; Supplement[[#This Row],[Department]] &amp; "-" &amp; $AT$2 &amp; "-" &amp; TEXT(COUNTIF(INDEX(Supplement[Department],1):Supplement[[#This Row],[Department]],Supplement[[#This Row],[Department]]),"0000")</f>
        <v>CIRQUE-All-Suppliment etc-0024</v>
      </c>
      <c r="B29" s="348" t="s">
        <v>939</v>
      </c>
      <c r="C29" s="16" t="s">
        <v>1017</v>
      </c>
      <c r="D29" s="350" t="s">
        <v>887</v>
      </c>
      <c r="E29" s="350" t="s">
        <v>890</v>
      </c>
      <c r="F29" s="349" t="s">
        <v>1097</v>
      </c>
      <c r="G29" s="14" t="s">
        <v>899</v>
      </c>
      <c r="H29" s="342"/>
      <c r="I29" s="351" t="s">
        <v>1169</v>
      </c>
      <c r="J29" s="351" t="s">
        <v>1174</v>
      </c>
      <c r="K29" s="16"/>
      <c r="L29" s="67" t="s">
        <v>913</v>
      </c>
      <c r="M29" s="13"/>
      <c r="N29" s="67" t="s">
        <v>1177</v>
      </c>
      <c r="O29" s="16" t="s">
        <v>1185</v>
      </c>
      <c r="P29" s="352"/>
      <c r="Q29" s="352"/>
      <c r="R29" s="353"/>
      <c r="S29" s="353"/>
      <c r="T29" s="355"/>
      <c r="U29" s="7">
        <v>2</v>
      </c>
      <c r="V29" s="7">
        <v>1</v>
      </c>
      <c r="W29" s="7">
        <v>1</v>
      </c>
      <c r="X29" s="10">
        <f t="shared" si="0"/>
        <v>3</v>
      </c>
      <c r="Y29" s="7">
        <v>2</v>
      </c>
      <c r="Z29" s="7">
        <v>3</v>
      </c>
      <c r="AA29" s="10">
        <f t="shared" si="1"/>
        <v>1</v>
      </c>
      <c r="AB29" s="11">
        <f t="shared" si="2"/>
        <v>3</v>
      </c>
      <c r="AC29" s="356"/>
      <c r="AD29" s="17"/>
      <c r="AE29" s="357"/>
      <c r="AF29" s="357"/>
      <c r="AG29" s="358"/>
      <c r="AH29" s="349"/>
      <c r="AI29" s="7"/>
      <c r="AJ29" s="10" t="str">
        <f t="shared" si="3"/>
        <v>CIRQUE</v>
      </c>
      <c r="AK29" s="299" t="str">
        <f t="shared" si="4"/>
        <v>All</v>
      </c>
    </row>
    <row r="30" spans="1:37">
      <c r="A30" s="332" t="str">
        <f>Supplement[[#This Row],[Company]] &amp; "-" &amp; Supplement[[#This Row],[Department]] &amp; "-" &amp; $AT$2 &amp; "-" &amp; TEXT(COUNTIF(INDEX(Supplement[Department],1):Supplement[[#This Row],[Department]],Supplement[[#This Row],[Department]]),"0000")</f>
        <v>CIRQUE-All-Suppliment etc-0025</v>
      </c>
      <c r="B30" s="348" t="s">
        <v>940</v>
      </c>
      <c r="C30" s="16" t="s">
        <v>1018</v>
      </c>
      <c r="D30" s="350" t="s">
        <v>887</v>
      </c>
      <c r="E30" s="350" t="s">
        <v>890</v>
      </c>
      <c r="F30" s="349" t="s">
        <v>1098</v>
      </c>
      <c r="G30" s="14" t="s">
        <v>899</v>
      </c>
      <c r="H30" s="342"/>
      <c r="I30" s="351" t="s">
        <v>1169</v>
      </c>
      <c r="J30" s="351" t="s">
        <v>1174</v>
      </c>
      <c r="K30" s="16"/>
      <c r="L30" s="67" t="s">
        <v>913</v>
      </c>
      <c r="M30" s="13"/>
      <c r="N30" s="67" t="s">
        <v>1177</v>
      </c>
      <c r="O30" s="16" t="s">
        <v>1185</v>
      </c>
      <c r="P30" s="352"/>
      <c r="Q30" s="352"/>
      <c r="R30" s="353"/>
      <c r="S30" s="353"/>
      <c r="T30" s="355"/>
      <c r="U30" s="7">
        <v>2</v>
      </c>
      <c r="V30" s="7">
        <v>1</v>
      </c>
      <c r="W30" s="7">
        <v>1</v>
      </c>
      <c r="X30" s="10">
        <f t="shared" si="0"/>
        <v>3</v>
      </c>
      <c r="Y30" s="7">
        <v>2</v>
      </c>
      <c r="Z30" s="7">
        <v>3</v>
      </c>
      <c r="AA30" s="10">
        <f t="shared" si="1"/>
        <v>1</v>
      </c>
      <c r="AB30" s="11">
        <f t="shared" si="2"/>
        <v>3</v>
      </c>
      <c r="AC30" s="356"/>
      <c r="AD30" s="17"/>
      <c r="AE30" s="357"/>
      <c r="AF30" s="357"/>
      <c r="AG30" s="358"/>
      <c r="AH30" s="349"/>
      <c r="AI30" s="7"/>
      <c r="AJ30" s="10" t="str">
        <f t="shared" si="3"/>
        <v>CIRQUE</v>
      </c>
      <c r="AK30" s="299" t="str">
        <f t="shared" si="4"/>
        <v>All</v>
      </c>
    </row>
    <row r="31" spans="1:37">
      <c r="A31" s="332" t="str">
        <f>Supplement[[#This Row],[Company]] &amp; "-" &amp; Supplement[[#This Row],[Department]] &amp; "-" &amp; $AT$2 &amp; "-" &amp; TEXT(COUNTIF(INDEX(Supplement[Department],1):Supplement[[#This Row],[Department]],Supplement[[#This Row],[Department]]),"0000")</f>
        <v>CIRQUE-All-Suppliment etc-0026</v>
      </c>
      <c r="B31" s="348" t="s">
        <v>941</v>
      </c>
      <c r="C31" s="16" t="s">
        <v>1019</v>
      </c>
      <c r="D31" s="350" t="s">
        <v>887</v>
      </c>
      <c r="E31" s="350" t="s">
        <v>890</v>
      </c>
      <c r="F31" s="349" t="s">
        <v>892</v>
      </c>
      <c r="G31" s="14" t="s">
        <v>899</v>
      </c>
      <c r="H31" s="342"/>
      <c r="I31" s="351" t="s">
        <v>1169</v>
      </c>
      <c r="J31" s="351" t="s">
        <v>1174</v>
      </c>
      <c r="K31" s="16"/>
      <c r="L31" s="67" t="s">
        <v>913</v>
      </c>
      <c r="M31" s="13"/>
      <c r="N31" s="67" t="s">
        <v>1177</v>
      </c>
      <c r="O31" s="16" t="s">
        <v>1185</v>
      </c>
      <c r="P31" s="352"/>
      <c r="Q31" s="352"/>
      <c r="R31" s="353"/>
      <c r="S31" s="353"/>
      <c r="T31" s="355"/>
      <c r="U31" s="7">
        <v>2</v>
      </c>
      <c r="V31" s="7">
        <v>1</v>
      </c>
      <c r="W31" s="7">
        <v>1</v>
      </c>
      <c r="X31" s="10">
        <f t="shared" si="0"/>
        <v>3</v>
      </c>
      <c r="Y31" s="7">
        <v>2</v>
      </c>
      <c r="Z31" s="7">
        <v>3</v>
      </c>
      <c r="AA31" s="10">
        <f t="shared" si="1"/>
        <v>1</v>
      </c>
      <c r="AB31" s="11">
        <f t="shared" si="2"/>
        <v>3</v>
      </c>
      <c r="AC31" s="356"/>
      <c r="AD31" s="17"/>
      <c r="AE31" s="357"/>
      <c r="AF31" s="357"/>
      <c r="AG31" s="358"/>
      <c r="AH31" s="349"/>
      <c r="AI31" s="7"/>
      <c r="AJ31" s="10" t="str">
        <f t="shared" si="3"/>
        <v>CIRQUE</v>
      </c>
      <c r="AK31" s="299" t="str">
        <f t="shared" si="4"/>
        <v>All</v>
      </c>
    </row>
    <row r="32" spans="1:37">
      <c r="A32" s="332" t="str">
        <f>Supplement[[#This Row],[Company]] &amp; "-" &amp; Supplement[[#This Row],[Department]] &amp; "-" &amp; $AT$2 &amp; "-" &amp; TEXT(COUNTIF(INDEX(Supplement[Department],1):Supplement[[#This Row],[Department]],Supplement[[#This Row],[Department]]),"0000")</f>
        <v>CIRQUE-All-Suppliment etc-0027</v>
      </c>
      <c r="B32" s="348" t="s">
        <v>942</v>
      </c>
      <c r="C32" s="16" t="s">
        <v>1020</v>
      </c>
      <c r="D32" s="350" t="s">
        <v>887</v>
      </c>
      <c r="E32" s="350" t="s">
        <v>890</v>
      </c>
      <c r="F32" s="349" t="s">
        <v>1099</v>
      </c>
      <c r="G32" s="14" t="s">
        <v>899</v>
      </c>
      <c r="H32" s="342"/>
      <c r="I32" s="351" t="s">
        <v>1169</v>
      </c>
      <c r="J32" s="351" t="s">
        <v>1174</v>
      </c>
      <c r="K32" s="16"/>
      <c r="L32" s="67" t="s">
        <v>913</v>
      </c>
      <c r="M32" s="13"/>
      <c r="N32" s="67" t="s">
        <v>1177</v>
      </c>
      <c r="O32" s="16" t="s">
        <v>1185</v>
      </c>
      <c r="P32" s="352"/>
      <c r="Q32" s="352"/>
      <c r="R32" s="353"/>
      <c r="S32" s="353"/>
      <c r="T32" s="355"/>
      <c r="U32" s="7">
        <v>2</v>
      </c>
      <c r="V32" s="7">
        <v>1</v>
      </c>
      <c r="W32" s="7">
        <v>1</v>
      </c>
      <c r="X32" s="10">
        <f t="shared" si="0"/>
        <v>3</v>
      </c>
      <c r="Y32" s="7">
        <v>2</v>
      </c>
      <c r="Z32" s="7">
        <v>3</v>
      </c>
      <c r="AA32" s="10">
        <f t="shared" si="1"/>
        <v>1</v>
      </c>
      <c r="AB32" s="11">
        <f t="shared" si="2"/>
        <v>3</v>
      </c>
      <c r="AC32" s="356"/>
      <c r="AD32" s="17"/>
      <c r="AE32" s="357"/>
      <c r="AF32" s="357"/>
      <c r="AG32" s="358"/>
      <c r="AH32" s="349"/>
      <c r="AI32" s="7"/>
      <c r="AJ32" s="10" t="str">
        <f t="shared" si="3"/>
        <v>CIRQUE</v>
      </c>
      <c r="AK32" s="299" t="str">
        <f t="shared" si="4"/>
        <v>All</v>
      </c>
    </row>
    <row r="33" spans="1:37">
      <c r="A33" s="332" t="str">
        <f>Supplement[[#This Row],[Company]] &amp; "-" &amp; Supplement[[#This Row],[Department]] &amp; "-" &amp; $AT$2 &amp; "-" &amp; TEXT(COUNTIF(INDEX(Supplement[Department],1):Supplement[[#This Row],[Department]],Supplement[[#This Row],[Department]]),"0000")</f>
        <v>CIRQUE-All-Suppliment etc-0028</v>
      </c>
      <c r="B33" s="348" t="s">
        <v>943</v>
      </c>
      <c r="C33" s="16" t="s">
        <v>1021</v>
      </c>
      <c r="D33" s="350" t="s">
        <v>887</v>
      </c>
      <c r="E33" s="350" t="s">
        <v>890</v>
      </c>
      <c r="F33" s="349" t="s">
        <v>1100</v>
      </c>
      <c r="G33" s="14" t="s">
        <v>899</v>
      </c>
      <c r="H33" s="342"/>
      <c r="I33" s="351" t="s">
        <v>1169</v>
      </c>
      <c r="J33" s="351" t="s">
        <v>1174</v>
      </c>
      <c r="K33" s="16"/>
      <c r="L33" s="67" t="s">
        <v>913</v>
      </c>
      <c r="M33" s="13"/>
      <c r="N33" s="67" t="s">
        <v>1177</v>
      </c>
      <c r="O33" s="16" t="s">
        <v>1190</v>
      </c>
      <c r="P33" s="352"/>
      <c r="Q33" s="352"/>
      <c r="R33" s="353"/>
      <c r="S33" s="353"/>
      <c r="T33" s="355"/>
      <c r="U33" s="7">
        <v>2</v>
      </c>
      <c r="V33" s="7">
        <v>1</v>
      </c>
      <c r="W33" s="7">
        <v>1</v>
      </c>
      <c r="X33" s="10">
        <f t="shared" si="0"/>
        <v>3</v>
      </c>
      <c r="Y33" s="7">
        <v>2</v>
      </c>
      <c r="Z33" s="7">
        <v>3</v>
      </c>
      <c r="AA33" s="10">
        <f t="shared" si="1"/>
        <v>1</v>
      </c>
      <c r="AB33" s="11">
        <f t="shared" si="2"/>
        <v>3</v>
      </c>
      <c r="AC33" s="356"/>
      <c r="AD33" s="17"/>
      <c r="AE33" s="357"/>
      <c r="AF33" s="357"/>
      <c r="AG33" s="358"/>
      <c r="AH33" s="349"/>
      <c r="AI33" s="7"/>
      <c r="AJ33" s="10" t="str">
        <f t="shared" si="3"/>
        <v>CIRQUE</v>
      </c>
      <c r="AK33" s="299" t="str">
        <f t="shared" si="4"/>
        <v>All</v>
      </c>
    </row>
    <row r="34" spans="1:37">
      <c r="A34" s="332" t="str">
        <f>Supplement[[#This Row],[Company]] &amp; "-" &amp; Supplement[[#This Row],[Department]] &amp; "-" &amp; $AT$2 &amp; "-" &amp; TEXT(COUNTIF(INDEX(Supplement[Department],1):Supplement[[#This Row],[Department]],Supplement[[#This Row],[Department]]),"0000")</f>
        <v>CIRQUE-All-Suppliment etc-0029</v>
      </c>
      <c r="B34" s="348" t="s">
        <v>944</v>
      </c>
      <c r="C34" s="16" t="s">
        <v>1022</v>
      </c>
      <c r="D34" s="350" t="s">
        <v>887</v>
      </c>
      <c r="E34" s="350" t="s">
        <v>890</v>
      </c>
      <c r="F34" s="349" t="s">
        <v>1101</v>
      </c>
      <c r="G34" s="14" t="s">
        <v>899</v>
      </c>
      <c r="H34" s="342"/>
      <c r="I34" s="351" t="s">
        <v>1169</v>
      </c>
      <c r="J34" s="351" t="s">
        <v>1174</v>
      </c>
      <c r="K34" s="16"/>
      <c r="L34" s="67" t="s">
        <v>913</v>
      </c>
      <c r="M34" s="13"/>
      <c r="N34" s="67" t="s">
        <v>1177</v>
      </c>
      <c r="O34" s="16" t="s">
        <v>1185</v>
      </c>
      <c r="P34" s="352"/>
      <c r="Q34" s="352"/>
      <c r="R34" s="353"/>
      <c r="S34" s="353"/>
      <c r="T34" s="355"/>
      <c r="U34" s="7">
        <v>2</v>
      </c>
      <c r="V34" s="7">
        <v>1</v>
      </c>
      <c r="W34" s="7">
        <v>1</v>
      </c>
      <c r="X34" s="10">
        <f t="shared" si="0"/>
        <v>3</v>
      </c>
      <c r="Y34" s="7">
        <v>2</v>
      </c>
      <c r="Z34" s="7">
        <v>3</v>
      </c>
      <c r="AA34" s="10">
        <f t="shared" si="1"/>
        <v>1</v>
      </c>
      <c r="AB34" s="11">
        <f t="shared" si="2"/>
        <v>3</v>
      </c>
      <c r="AC34" s="356"/>
      <c r="AD34" s="17"/>
      <c r="AE34" s="357"/>
      <c r="AF34" s="357"/>
      <c r="AG34" s="358"/>
      <c r="AH34" s="349"/>
      <c r="AI34" s="7"/>
      <c r="AJ34" s="10" t="str">
        <f t="shared" si="3"/>
        <v>CIRQUE</v>
      </c>
      <c r="AK34" s="299" t="str">
        <f t="shared" si="4"/>
        <v>All</v>
      </c>
    </row>
    <row r="35" spans="1:37">
      <c r="A35" s="332" t="str">
        <f>Supplement[[#This Row],[Company]] &amp; "-" &amp; Supplement[[#This Row],[Department]] &amp; "-" &amp; $AT$2 &amp; "-" &amp; TEXT(COUNTIF(INDEX(Supplement[Department],1):Supplement[[#This Row],[Department]],Supplement[[#This Row],[Department]]),"0000")</f>
        <v>CIRQUE-All-Suppliment etc-0030</v>
      </c>
      <c r="B35" s="348" t="s">
        <v>945</v>
      </c>
      <c r="C35" s="16" t="s">
        <v>1023</v>
      </c>
      <c r="D35" s="350" t="s">
        <v>887</v>
      </c>
      <c r="E35" s="350" t="s">
        <v>890</v>
      </c>
      <c r="F35" s="349" t="s">
        <v>1102</v>
      </c>
      <c r="G35" s="14" t="s">
        <v>899</v>
      </c>
      <c r="H35" s="342"/>
      <c r="I35" s="351" t="s">
        <v>1169</v>
      </c>
      <c r="J35" s="351" t="s">
        <v>1174</v>
      </c>
      <c r="K35" s="16"/>
      <c r="L35" s="67" t="s">
        <v>913</v>
      </c>
      <c r="M35" s="13"/>
      <c r="N35" s="67" t="s">
        <v>1177</v>
      </c>
      <c r="O35" s="16" t="s">
        <v>1185</v>
      </c>
      <c r="P35" s="352"/>
      <c r="Q35" s="352"/>
      <c r="R35" s="353"/>
      <c r="S35" s="353"/>
      <c r="T35" s="355"/>
      <c r="U35" s="7">
        <v>2</v>
      </c>
      <c r="V35" s="7">
        <v>1</v>
      </c>
      <c r="W35" s="7">
        <v>1</v>
      </c>
      <c r="X35" s="10">
        <f t="shared" si="0"/>
        <v>3</v>
      </c>
      <c r="Y35" s="7">
        <v>2</v>
      </c>
      <c r="Z35" s="7">
        <v>3</v>
      </c>
      <c r="AA35" s="10">
        <f t="shared" si="1"/>
        <v>1</v>
      </c>
      <c r="AB35" s="11">
        <f t="shared" si="2"/>
        <v>3</v>
      </c>
      <c r="AC35" s="356"/>
      <c r="AD35" s="17"/>
      <c r="AE35" s="357"/>
      <c r="AF35" s="357"/>
      <c r="AG35" s="358"/>
      <c r="AH35" s="349"/>
      <c r="AI35" s="7"/>
      <c r="AJ35" s="10" t="str">
        <f t="shared" si="3"/>
        <v>CIRQUE</v>
      </c>
      <c r="AK35" s="299" t="str">
        <f t="shared" si="4"/>
        <v>All</v>
      </c>
    </row>
    <row r="36" spans="1:37">
      <c r="A36" s="332" t="str">
        <f>Supplement[[#This Row],[Company]] &amp; "-" &amp; Supplement[[#This Row],[Department]] &amp; "-" &amp; $AT$2 &amp; "-" &amp; TEXT(COUNTIF(INDEX(Supplement[Department],1):Supplement[[#This Row],[Department]],Supplement[[#This Row],[Department]]),"0000")</f>
        <v>CIRQUE-All-Suppliment etc-0031</v>
      </c>
      <c r="B36" s="348" t="s">
        <v>946</v>
      </c>
      <c r="C36" s="16" t="s">
        <v>1024</v>
      </c>
      <c r="D36" s="350" t="s">
        <v>887</v>
      </c>
      <c r="E36" s="350" t="s">
        <v>890</v>
      </c>
      <c r="F36" s="349" t="s">
        <v>1103</v>
      </c>
      <c r="G36" s="14" t="s">
        <v>899</v>
      </c>
      <c r="H36" s="342"/>
      <c r="I36" s="351" t="s">
        <v>1169</v>
      </c>
      <c r="J36" s="351" t="s">
        <v>1174</v>
      </c>
      <c r="K36" s="16"/>
      <c r="L36" s="67" t="s">
        <v>913</v>
      </c>
      <c r="M36" s="13"/>
      <c r="N36" s="67" t="s">
        <v>1177</v>
      </c>
      <c r="O36" s="16" t="s">
        <v>1185</v>
      </c>
      <c r="P36" s="352"/>
      <c r="Q36" s="352"/>
      <c r="R36" s="353"/>
      <c r="S36" s="353"/>
      <c r="T36" s="355"/>
      <c r="U36" s="7">
        <v>2</v>
      </c>
      <c r="V36" s="7">
        <v>1</v>
      </c>
      <c r="W36" s="7">
        <v>1</v>
      </c>
      <c r="X36" s="10">
        <f t="shared" si="0"/>
        <v>3</v>
      </c>
      <c r="Y36" s="7">
        <v>2</v>
      </c>
      <c r="Z36" s="7">
        <v>3</v>
      </c>
      <c r="AA36" s="10">
        <f t="shared" si="1"/>
        <v>1</v>
      </c>
      <c r="AB36" s="11">
        <f t="shared" si="2"/>
        <v>3</v>
      </c>
      <c r="AC36" s="356"/>
      <c r="AD36" s="17"/>
      <c r="AE36" s="357"/>
      <c r="AF36" s="357"/>
      <c r="AG36" s="358"/>
      <c r="AH36" s="349"/>
      <c r="AI36" s="7"/>
      <c r="AJ36" s="10" t="str">
        <f t="shared" si="3"/>
        <v>CIRQUE</v>
      </c>
      <c r="AK36" s="299" t="str">
        <f t="shared" si="4"/>
        <v>All</v>
      </c>
    </row>
    <row r="37" spans="1:37">
      <c r="A37" s="332" t="str">
        <f>Supplement[[#This Row],[Company]] &amp; "-" &amp; Supplement[[#This Row],[Department]] &amp; "-" &amp; $AT$2 &amp; "-" &amp; TEXT(COUNTIF(INDEX(Supplement[Department],1):Supplement[[#This Row],[Department]],Supplement[[#This Row],[Department]]),"0000")</f>
        <v>CIRQUE-All-Suppliment etc-0032</v>
      </c>
      <c r="B37" s="348" t="s">
        <v>947</v>
      </c>
      <c r="C37" s="16" t="s">
        <v>1025</v>
      </c>
      <c r="D37" s="350" t="s">
        <v>887</v>
      </c>
      <c r="E37" s="350" t="s">
        <v>890</v>
      </c>
      <c r="F37" s="349" t="s">
        <v>1103</v>
      </c>
      <c r="G37" s="14" t="s">
        <v>899</v>
      </c>
      <c r="H37" s="342"/>
      <c r="I37" s="351" t="s">
        <v>1169</v>
      </c>
      <c r="J37" s="351" t="s">
        <v>1174</v>
      </c>
      <c r="K37" s="16"/>
      <c r="L37" s="67" t="s">
        <v>913</v>
      </c>
      <c r="M37" s="13"/>
      <c r="N37" s="67" t="s">
        <v>1177</v>
      </c>
      <c r="O37" s="16" t="s">
        <v>1185</v>
      </c>
      <c r="P37" s="352"/>
      <c r="Q37" s="352"/>
      <c r="R37" s="353"/>
      <c r="S37" s="353"/>
      <c r="T37" s="355"/>
      <c r="U37" s="7">
        <v>2</v>
      </c>
      <c r="V37" s="7">
        <v>1</v>
      </c>
      <c r="W37" s="7">
        <v>1</v>
      </c>
      <c r="X37" s="10">
        <f t="shared" si="0"/>
        <v>3</v>
      </c>
      <c r="Y37" s="7">
        <v>2</v>
      </c>
      <c r="Z37" s="7">
        <v>3</v>
      </c>
      <c r="AA37" s="10">
        <f t="shared" si="1"/>
        <v>1</v>
      </c>
      <c r="AB37" s="11">
        <f t="shared" si="2"/>
        <v>3</v>
      </c>
      <c r="AC37" s="356"/>
      <c r="AD37" s="17"/>
      <c r="AE37" s="357"/>
      <c r="AF37" s="357"/>
      <c r="AG37" s="358"/>
      <c r="AH37" s="349"/>
      <c r="AI37" s="7"/>
      <c r="AJ37" s="10" t="str">
        <f t="shared" si="3"/>
        <v>CIRQUE</v>
      </c>
      <c r="AK37" s="299" t="str">
        <f t="shared" si="4"/>
        <v>All</v>
      </c>
    </row>
    <row r="38" spans="1:37">
      <c r="A38" s="332" t="str">
        <f>Supplement[[#This Row],[Company]] &amp; "-" &amp; Supplement[[#This Row],[Department]] &amp; "-" &amp; $AT$2 &amp; "-" &amp; TEXT(COUNTIF(INDEX(Supplement[Department],1):Supplement[[#This Row],[Department]],Supplement[[#This Row],[Department]]),"0000")</f>
        <v>CIRQUE-All-Suppliment etc-0033</v>
      </c>
      <c r="B38" s="348" t="s">
        <v>948</v>
      </c>
      <c r="C38" s="16" t="s">
        <v>1026</v>
      </c>
      <c r="D38" s="350" t="s">
        <v>887</v>
      </c>
      <c r="E38" s="350" t="s">
        <v>890</v>
      </c>
      <c r="F38" s="349" t="s">
        <v>1103</v>
      </c>
      <c r="G38" s="14" t="s">
        <v>899</v>
      </c>
      <c r="H38" s="342"/>
      <c r="I38" s="351" t="s">
        <v>1169</v>
      </c>
      <c r="J38" s="351" t="s">
        <v>1174</v>
      </c>
      <c r="K38" s="16"/>
      <c r="L38" s="67" t="s">
        <v>913</v>
      </c>
      <c r="M38" s="13"/>
      <c r="N38" s="67" t="s">
        <v>1177</v>
      </c>
      <c r="O38" s="16" t="s">
        <v>1185</v>
      </c>
      <c r="P38" s="352"/>
      <c r="Q38" s="352"/>
      <c r="R38" s="353"/>
      <c r="S38" s="353"/>
      <c r="T38" s="355"/>
      <c r="U38" s="7">
        <v>2</v>
      </c>
      <c r="V38" s="7">
        <v>1</v>
      </c>
      <c r="W38" s="7">
        <v>1</v>
      </c>
      <c r="X38" s="10">
        <f t="shared" si="0"/>
        <v>3</v>
      </c>
      <c r="Y38" s="7">
        <v>2</v>
      </c>
      <c r="Z38" s="7">
        <v>3</v>
      </c>
      <c r="AA38" s="10">
        <f t="shared" si="1"/>
        <v>1</v>
      </c>
      <c r="AB38" s="11">
        <f t="shared" si="2"/>
        <v>3</v>
      </c>
      <c r="AC38" s="356"/>
      <c r="AD38" s="17"/>
      <c r="AE38" s="357"/>
      <c r="AF38" s="357"/>
      <c r="AG38" s="358"/>
      <c r="AH38" s="349"/>
      <c r="AI38" s="7"/>
      <c r="AJ38" s="10" t="str">
        <f t="shared" si="3"/>
        <v>CIRQUE</v>
      </c>
      <c r="AK38" s="299" t="str">
        <f t="shared" si="4"/>
        <v>All</v>
      </c>
    </row>
    <row r="39" spans="1:37">
      <c r="A39" s="332" t="str">
        <f>Supplement[[#This Row],[Company]] &amp; "-" &amp; Supplement[[#This Row],[Department]] &amp; "-" &amp; $AT$2 &amp; "-" &amp; TEXT(COUNTIF(INDEX(Supplement[Department],1):Supplement[[#This Row],[Department]],Supplement[[#This Row],[Department]]),"0000")</f>
        <v>CIRQUE-All-Suppliment etc-0034</v>
      </c>
      <c r="B39" s="348" t="s">
        <v>949</v>
      </c>
      <c r="C39" s="16" t="s">
        <v>1027</v>
      </c>
      <c r="D39" s="350" t="s">
        <v>887</v>
      </c>
      <c r="E39" s="350" t="s">
        <v>890</v>
      </c>
      <c r="F39" s="349" t="s">
        <v>1104</v>
      </c>
      <c r="G39" s="14" t="s">
        <v>899</v>
      </c>
      <c r="H39" s="342"/>
      <c r="I39" s="351" t="s">
        <v>1169</v>
      </c>
      <c r="J39" s="351" t="s">
        <v>1174</v>
      </c>
      <c r="K39" s="16"/>
      <c r="L39" s="67" t="s">
        <v>913</v>
      </c>
      <c r="M39" s="13"/>
      <c r="N39" s="67" t="s">
        <v>1177</v>
      </c>
      <c r="O39" s="16" t="s">
        <v>1185</v>
      </c>
      <c r="P39" s="352"/>
      <c r="Q39" s="352"/>
      <c r="R39" s="353"/>
      <c r="S39" s="353"/>
      <c r="T39" s="355"/>
      <c r="U39" s="7">
        <v>2</v>
      </c>
      <c r="V39" s="7">
        <v>1</v>
      </c>
      <c r="W39" s="7">
        <v>1</v>
      </c>
      <c r="X39" s="10">
        <f t="shared" ref="X39:X70" si="5">MAX(U39:W133)</f>
        <v>3</v>
      </c>
      <c r="Y39" s="7">
        <v>2</v>
      </c>
      <c r="Z39" s="7">
        <v>3</v>
      </c>
      <c r="AA39" s="10">
        <f t="shared" ref="AA39:AA70" si="6">MAXA(Y39-Z39,1)</f>
        <v>1</v>
      </c>
      <c r="AB39" s="11">
        <f t="shared" ref="AB39:AB70" si="7">X39*AA39</f>
        <v>3</v>
      </c>
      <c r="AC39" s="356"/>
      <c r="AD39" s="17"/>
      <c r="AE39" s="357"/>
      <c r="AF39" s="357"/>
      <c r="AG39" s="358"/>
      <c r="AH39" s="349"/>
      <c r="AI39" s="7"/>
      <c r="AJ39" s="10" t="str">
        <f t="shared" ref="AJ39:AJ70" si="8">$F$2</f>
        <v>CIRQUE</v>
      </c>
      <c r="AK39" s="299" t="str">
        <f t="shared" ref="AK39:AK70" si="9">$H$2</f>
        <v>All</v>
      </c>
    </row>
    <row r="40" spans="1:37">
      <c r="A40" s="332" t="str">
        <f>Supplement[[#This Row],[Company]] &amp; "-" &amp; Supplement[[#This Row],[Department]] &amp; "-" &amp; $AT$2 &amp; "-" &amp; TEXT(COUNTIF(INDEX(Supplement[Department],1):Supplement[[#This Row],[Department]],Supplement[[#This Row],[Department]]),"0000")</f>
        <v>CIRQUE-All-Suppliment etc-0035</v>
      </c>
      <c r="B40" s="348" t="s">
        <v>950</v>
      </c>
      <c r="C40" s="16" t="s">
        <v>1028</v>
      </c>
      <c r="D40" s="350" t="s">
        <v>887</v>
      </c>
      <c r="E40" s="350" t="s">
        <v>890</v>
      </c>
      <c r="F40" s="349" t="s">
        <v>1105</v>
      </c>
      <c r="G40" s="14" t="s">
        <v>899</v>
      </c>
      <c r="H40" s="342"/>
      <c r="I40" s="351" t="s">
        <v>1169</v>
      </c>
      <c r="J40" s="351" t="s">
        <v>1174</v>
      </c>
      <c r="K40" s="16"/>
      <c r="L40" s="67" t="s">
        <v>913</v>
      </c>
      <c r="M40" s="13"/>
      <c r="N40" s="67" t="s">
        <v>1177</v>
      </c>
      <c r="O40" s="16" t="s">
        <v>1185</v>
      </c>
      <c r="P40" s="352"/>
      <c r="Q40" s="352"/>
      <c r="R40" s="353"/>
      <c r="S40" s="353"/>
      <c r="T40" s="355"/>
      <c r="U40" s="7">
        <v>2</v>
      </c>
      <c r="V40" s="7">
        <v>1</v>
      </c>
      <c r="W40" s="7">
        <v>1</v>
      </c>
      <c r="X40" s="10">
        <f t="shared" si="5"/>
        <v>3</v>
      </c>
      <c r="Y40" s="7">
        <v>2</v>
      </c>
      <c r="Z40" s="7">
        <v>3</v>
      </c>
      <c r="AA40" s="10">
        <f t="shared" si="6"/>
        <v>1</v>
      </c>
      <c r="AB40" s="11">
        <f t="shared" si="7"/>
        <v>3</v>
      </c>
      <c r="AC40" s="356"/>
      <c r="AD40" s="17"/>
      <c r="AE40" s="357"/>
      <c r="AF40" s="357"/>
      <c r="AG40" s="358"/>
      <c r="AH40" s="349"/>
      <c r="AI40" s="7"/>
      <c r="AJ40" s="10" t="str">
        <f t="shared" si="8"/>
        <v>CIRQUE</v>
      </c>
      <c r="AK40" s="299" t="str">
        <f t="shared" si="9"/>
        <v>All</v>
      </c>
    </row>
    <row r="41" spans="1:37">
      <c r="A41" s="332" t="str">
        <f>Supplement[[#This Row],[Company]] &amp; "-" &amp; Supplement[[#This Row],[Department]] &amp; "-" &amp; $AT$2 &amp; "-" &amp; TEXT(COUNTIF(INDEX(Supplement[Department],1):Supplement[[#This Row],[Department]],Supplement[[#This Row],[Department]]),"0000")</f>
        <v>CIRQUE-All-Suppliment etc-0036</v>
      </c>
      <c r="B41" s="348" t="s">
        <v>951</v>
      </c>
      <c r="C41" s="16" t="s">
        <v>1029</v>
      </c>
      <c r="D41" s="350" t="s">
        <v>887</v>
      </c>
      <c r="E41" s="350" t="s">
        <v>890</v>
      </c>
      <c r="F41" s="349" t="s">
        <v>1106</v>
      </c>
      <c r="G41" s="14" t="s">
        <v>899</v>
      </c>
      <c r="H41" s="342"/>
      <c r="I41" s="351" t="s">
        <v>1169</v>
      </c>
      <c r="J41" s="351" t="s">
        <v>1174</v>
      </c>
      <c r="K41" s="16"/>
      <c r="L41" s="67" t="s">
        <v>913</v>
      </c>
      <c r="M41" s="13"/>
      <c r="N41" s="67" t="s">
        <v>1177</v>
      </c>
      <c r="O41" s="16" t="s">
        <v>1185</v>
      </c>
      <c r="P41" s="352"/>
      <c r="Q41" s="352"/>
      <c r="R41" s="353"/>
      <c r="S41" s="353"/>
      <c r="T41" s="355"/>
      <c r="U41" s="7">
        <v>2</v>
      </c>
      <c r="V41" s="7">
        <v>1</v>
      </c>
      <c r="W41" s="7">
        <v>1</v>
      </c>
      <c r="X41" s="10">
        <f t="shared" si="5"/>
        <v>3</v>
      </c>
      <c r="Y41" s="7">
        <v>2</v>
      </c>
      <c r="Z41" s="7">
        <v>3</v>
      </c>
      <c r="AA41" s="10">
        <f t="shared" si="6"/>
        <v>1</v>
      </c>
      <c r="AB41" s="11">
        <f t="shared" si="7"/>
        <v>3</v>
      </c>
      <c r="AC41" s="356"/>
      <c r="AD41" s="17"/>
      <c r="AE41" s="357"/>
      <c r="AF41" s="357"/>
      <c r="AG41" s="358"/>
      <c r="AH41" s="349"/>
      <c r="AI41" s="7"/>
      <c r="AJ41" s="10" t="str">
        <f t="shared" si="8"/>
        <v>CIRQUE</v>
      </c>
      <c r="AK41" s="299" t="str">
        <f t="shared" si="9"/>
        <v>All</v>
      </c>
    </row>
    <row r="42" spans="1:37">
      <c r="A42" s="332" t="str">
        <f>Supplement[[#This Row],[Company]] &amp; "-" &amp; Supplement[[#This Row],[Department]] &amp; "-" &amp; $AT$2 &amp; "-" &amp; TEXT(COUNTIF(INDEX(Supplement[Department],1):Supplement[[#This Row],[Department]],Supplement[[#This Row],[Department]]),"0000")</f>
        <v>CIRQUE-All-Suppliment etc-0037</v>
      </c>
      <c r="B42" s="348" t="s">
        <v>952</v>
      </c>
      <c r="C42" s="16" t="s">
        <v>1030</v>
      </c>
      <c r="D42" s="350" t="s">
        <v>887</v>
      </c>
      <c r="E42" s="350" t="s">
        <v>890</v>
      </c>
      <c r="F42" s="349" t="s">
        <v>1107</v>
      </c>
      <c r="G42" s="14" t="s">
        <v>899</v>
      </c>
      <c r="H42" s="342"/>
      <c r="I42" s="351" t="s">
        <v>1169</v>
      </c>
      <c r="J42" s="351" t="s">
        <v>1174</v>
      </c>
      <c r="K42" s="16"/>
      <c r="L42" s="67" t="s">
        <v>913</v>
      </c>
      <c r="M42" s="13"/>
      <c r="N42" s="67" t="s">
        <v>1177</v>
      </c>
      <c r="O42" s="16" t="s">
        <v>1185</v>
      </c>
      <c r="P42" s="352"/>
      <c r="Q42" s="352"/>
      <c r="R42" s="353"/>
      <c r="S42" s="353"/>
      <c r="T42" s="355"/>
      <c r="U42" s="7">
        <v>2</v>
      </c>
      <c r="V42" s="7">
        <v>1</v>
      </c>
      <c r="W42" s="7">
        <v>1</v>
      </c>
      <c r="X42" s="10">
        <f t="shared" si="5"/>
        <v>3</v>
      </c>
      <c r="Y42" s="7">
        <v>2</v>
      </c>
      <c r="Z42" s="7">
        <v>3</v>
      </c>
      <c r="AA42" s="10">
        <f t="shared" si="6"/>
        <v>1</v>
      </c>
      <c r="AB42" s="11">
        <f t="shared" si="7"/>
        <v>3</v>
      </c>
      <c r="AC42" s="356"/>
      <c r="AD42" s="17"/>
      <c r="AE42" s="357"/>
      <c r="AF42" s="357"/>
      <c r="AG42" s="358"/>
      <c r="AH42" s="349"/>
      <c r="AI42" s="7"/>
      <c r="AJ42" s="10" t="str">
        <f t="shared" si="8"/>
        <v>CIRQUE</v>
      </c>
      <c r="AK42" s="299" t="str">
        <f t="shared" si="9"/>
        <v>All</v>
      </c>
    </row>
    <row r="43" spans="1:37">
      <c r="A43" s="332" t="str">
        <f>Supplement[[#This Row],[Company]] &amp; "-" &amp; Supplement[[#This Row],[Department]] &amp; "-" &amp; $AT$2 &amp; "-" &amp; TEXT(COUNTIF(INDEX(Supplement[Department],1):Supplement[[#This Row],[Department]],Supplement[[#This Row],[Department]]),"0000")</f>
        <v>CIRQUE-All-Suppliment etc-0038</v>
      </c>
      <c r="B43" s="348" t="s">
        <v>953</v>
      </c>
      <c r="C43" s="16" t="s">
        <v>1031</v>
      </c>
      <c r="D43" s="350" t="s">
        <v>887</v>
      </c>
      <c r="E43" s="350" t="s">
        <v>890</v>
      </c>
      <c r="F43" s="349" t="s">
        <v>1108</v>
      </c>
      <c r="G43" s="14" t="s">
        <v>899</v>
      </c>
      <c r="H43" s="342"/>
      <c r="I43" s="351" t="s">
        <v>1169</v>
      </c>
      <c r="J43" s="351" t="s">
        <v>1174</v>
      </c>
      <c r="K43" s="16"/>
      <c r="L43" s="67" t="s">
        <v>913</v>
      </c>
      <c r="M43" s="13"/>
      <c r="N43" s="67" t="s">
        <v>1177</v>
      </c>
      <c r="O43" s="16" t="s">
        <v>1185</v>
      </c>
      <c r="P43" s="352"/>
      <c r="Q43" s="352"/>
      <c r="R43" s="353"/>
      <c r="S43" s="353"/>
      <c r="T43" s="355"/>
      <c r="U43" s="7">
        <v>2</v>
      </c>
      <c r="V43" s="7">
        <v>1</v>
      </c>
      <c r="W43" s="7">
        <v>1</v>
      </c>
      <c r="X43" s="10">
        <f t="shared" si="5"/>
        <v>3</v>
      </c>
      <c r="Y43" s="7">
        <v>2</v>
      </c>
      <c r="Z43" s="7">
        <v>3</v>
      </c>
      <c r="AA43" s="10">
        <f t="shared" si="6"/>
        <v>1</v>
      </c>
      <c r="AB43" s="11">
        <f t="shared" si="7"/>
        <v>3</v>
      </c>
      <c r="AC43" s="356"/>
      <c r="AD43" s="17"/>
      <c r="AE43" s="357"/>
      <c r="AF43" s="357"/>
      <c r="AG43" s="358"/>
      <c r="AH43" s="349"/>
      <c r="AI43" s="7"/>
      <c r="AJ43" s="10" t="str">
        <f t="shared" si="8"/>
        <v>CIRQUE</v>
      </c>
      <c r="AK43" s="299" t="str">
        <f t="shared" si="9"/>
        <v>All</v>
      </c>
    </row>
    <row r="44" spans="1:37">
      <c r="A44" s="332" t="str">
        <f>Supplement[[#This Row],[Company]] &amp; "-" &amp; Supplement[[#This Row],[Department]] &amp; "-" &amp; $AT$2 &amp; "-" &amp; TEXT(COUNTIF(INDEX(Supplement[Department],1):Supplement[[#This Row],[Department]],Supplement[[#This Row],[Department]]),"0000")</f>
        <v>CIRQUE-All-Suppliment etc-0039</v>
      </c>
      <c r="B44" s="348">
        <v>0</v>
      </c>
      <c r="C44" s="16" t="s">
        <v>1032</v>
      </c>
      <c r="D44" s="350" t="s">
        <v>887</v>
      </c>
      <c r="E44" s="350" t="s">
        <v>890</v>
      </c>
      <c r="F44" s="349" t="s">
        <v>1109</v>
      </c>
      <c r="G44" s="14" t="s">
        <v>899</v>
      </c>
      <c r="H44" s="342"/>
      <c r="I44" s="351" t="s">
        <v>1169</v>
      </c>
      <c r="J44" s="351" t="s">
        <v>1174</v>
      </c>
      <c r="K44" s="16"/>
      <c r="L44" s="67" t="s">
        <v>913</v>
      </c>
      <c r="M44" s="13"/>
      <c r="N44" s="67" t="s">
        <v>1177</v>
      </c>
      <c r="O44" s="16" t="s">
        <v>1185</v>
      </c>
      <c r="P44" s="352"/>
      <c r="Q44" s="352"/>
      <c r="R44" s="353"/>
      <c r="S44" s="353"/>
      <c r="T44" s="355"/>
      <c r="U44" s="7">
        <v>2</v>
      </c>
      <c r="V44" s="7">
        <v>1</v>
      </c>
      <c r="W44" s="7">
        <v>1</v>
      </c>
      <c r="X44" s="10">
        <f t="shared" si="5"/>
        <v>3</v>
      </c>
      <c r="Y44" s="7">
        <v>2</v>
      </c>
      <c r="Z44" s="7">
        <v>3</v>
      </c>
      <c r="AA44" s="10">
        <f t="shared" si="6"/>
        <v>1</v>
      </c>
      <c r="AB44" s="11">
        <f t="shared" si="7"/>
        <v>3</v>
      </c>
      <c r="AC44" s="356"/>
      <c r="AD44" s="17"/>
      <c r="AE44" s="357"/>
      <c r="AF44" s="357"/>
      <c r="AG44" s="358"/>
      <c r="AH44" s="349"/>
      <c r="AI44" s="7"/>
      <c r="AJ44" s="10" t="str">
        <f t="shared" si="8"/>
        <v>CIRQUE</v>
      </c>
      <c r="AK44" s="299" t="str">
        <f t="shared" si="9"/>
        <v>All</v>
      </c>
    </row>
    <row r="45" spans="1:37">
      <c r="A45" s="332" t="str">
        <f>Supplement[[#This Row],[Company]] &amp; "-" &amp; Supplement[[#This Row],[Department]] &amp; "-" &amp; $AT$2 &amp; "-" &amp; TEXT(COUNTIF(INDEX(Supplement[Department],1):Supplement[[#This Row],[Department]],Supplement[[#This Row],[Department]]),"0000")</f>
        <v>CIRQUE-All-Suppliment etc-0040</v>
      </c>
      <c r="B45" s="348" t="s">
        <v>954</v>
      </c>
      <c r="C45" s="16" t="s">
        <v>1033</v>
      </c>
      <c r="D45" s="350" t="s">
        <v>887</v>
      </c>
      <c r="E45" s="350" t="s">
        <v>890</v>
      </c>
      <c r="F45" s="349" t="s">
        <v>1110</v>
      </c>
      <c r="G45" s="14" t="s">
        <v>899</v>
      </c>
      <c r="H45" s="342"/>
      <c r="I45" s="351" t="s">
        <v>1169</v>
      </c>
      <c r="J45" s="351" t="s">
        <v>1174</v>
      </c>
      <c r="K45" s="16"/>
      <c r="L45" s="67" t="s">
        <v>913</v>
      </c>
      <c r="M45" s="13"/>
      <c r="N45" s="67" t="s">
        <v>1177</v>
      </c>
      <c r="O45" s="16" t="s">
        <v>1190</v>
      </c>
      <c r="P45" s="352"/>
      <c r="Q45" s="352"/>
      <c r="R45" s="353"/>
      <c r="S45" s="353"/>
      <c r="T45" s="355"/>
      <c r="U45" s="7">
        <v>2</v>
      </c>
      <c r="V45" s="7">
        <v>1</v>
      </c>
      <c r="W45" s="7">
        <v>1</v>
      </c>
      <c r="X45" s="10">
        <f t="shared" si="5"/>
        <v>3</v>
      </c>
      <c r="Y45" s="7">
        <v>2</v>
      </c>
      <c r="Z45" s="7">
        <v>3</v>
      </c>
      <c r="AA45" s="10">
        <f t="shared" si="6"/>
        <v>1</v>
      </c>
      <c r="AB45" s="11">
        <f t="shared" si="7"/>
        <v>3</v>
      </c>
      <c r="AC45" s="356"/>
      <c r="AD45" s="17"/>
      <c r="AE45" s="357"/>
      <c r="AF45" s="357"/>
      <c r="AG45" s="358"/>
      <c r="AH45" s="349"/>
      <c r="AI45" s="7"/>
      <c r="AJ45" s="10" t="str">
        <f t="shared" si="8"/>
        <v>CIRQUE</v>
      </c>
      <c r="AK45" s="299" t="str">
        <f t="shared" si="9"/>
        <v>All</v>
      </c>
    </row>
    <row r="46" spans="1:37">
      <c r="A46" s="332" t="str">
        <f>Supplement[[#This Row],[Company]] &amp; "-" &amp; Supplement[[#This Row],[Department]] &amp; "-" &amp; $AT$2 &amp; "-" &amp; TEXT(COUNTIF(INDEX(Supplement[Department],1):Supplement[[#This Row],[Department]],Supplement[[#This Row],[Department]]),"0000")</f>
        <v>CIRQUE-All-Suppliment etc-0041</v>
      </c>
      <c r="B46" s="348" t="s">
        <v>955</v>
      </c>
      <c r="C46" s="16" t="s">
        <v>1034</v>
      </c>
      <c r="D46" s="350" t="s">
        <v>887</v>
      </c>
      <c r="E46" s="350" t="s">
        <v>890</v>
      </c>
      <c r="F46" s="349" t="s">
        <v>1111</v>
      </c>
      <c r="G46" s="14" t="s">
        <v>899</v>
      </c>
      <c r="H46" s="342"/>
      <c r="I46" s="351" t="s">
        <v>1169</v>
      </c>
      <c r="J46" s="351" t="s">
        <v>1174</v>
      </c>
      <c r="K46" s="16"/>
      <c r="L46" s="67" t="s">
        <v>913</v>
      </c>
      <c r="M46" s="13"/>
      <c r="N46" s="67" t="s">
        <v>1177</v>
      </c>
      <c r="O46" s="16" t="s">
        <v>1185</v>
      </c>
      <c r="P46" s="352"/>
      <c r="Q46" s="352"/>
      <c r="R46" s="353"/>
      <c r="S46" s="353"/>
      <c r="T46" s="355"/>
      <c r="U46" s="7">
        <v>2</v>
      </c>
      <c r="V46" s="7">
        <v>1</v>
      </c>
      <c r="W46" s="7">
        <v>1</v>
      </c>
      <c r="X46" s="10">
        <f t="shared" si="5"/>
        <v>3</v>
      </c>
      <c r="Y46" s="7">
        <v>2</v>
      </c>
      <c r="Z46" s="7">
        <v>3</v>
      </c>
      <c r="AA46" s="10">
        <f t="shared" si="6"/>
        <v>1</v>
      </c>
      <c r="AB46" s="11">
        <f t="shared" si="7"/>
        <v>3</v>
      </c>
      <c r="AC46" s="356"/>
      <c r="AD46" s="17"/>
      <c r="AE46" s="357"/>
      <c r="AF46" s="357"/>
      <c r="AG46" s="358"/>
      <c r="AH46" s="349"/>
      <c r="AI46" s="7"/>
      <c r="AJ46" s="10" t="str">
        <f t="shared" si="8"/>
        <v>CIRQUE</v>
      </c>
      <c r="AK46" s="299" t="str">
        <f t="shared" si="9"/>
        <v>All</v>
      </c>
    </row>
    <row r="47" spans="1:37">
      <c r="A47" s="332" t="str">
        <f>Supplement[[#This Row],[Company]] &amp; "-" &amp; Supplement[[#This Row],[Department]] &amp; "-" &amp; $AT$2 &amp; "-" &amp; TEXT(COUNTIF(INDEX(Supplement[Department],1):Supplement[[#This Row],[Department]],Supplement[[#This Row],[Department]]),"0000")</f>
        <v>CIRQUE-All-Suppliment etc-0042</v>
      </c>
      <c r="B47" s="348" t="s">
        <v>956</v>
      </c>
      <c r="C47" s="16" t="s">
        <v>1035</v>
      </c>
      <c r="D47" s="350" t="s">
        <v>887</v>
      </c>
      <c r="E47" s="350" t="s">
        <v>890</v>
      </c>
      <c r="F47" s="349" t="s">
        <v>1112</v>
      </c>
      <c r="G47" s="14" t="s">
        <v>899</v>
      </c>
      <c r="H47" s="342"/>
      <c r="I47" s="351" t="s">
        <v>1169</v>
      </c>
      <c r="J47" s="351" t="s">
        <v>1174</v>
      </c>
      <c r="K47" s="16"/>
      <c r="L47" s="67" t="s">
        <v>913</v>
      </c>
      <c r="M47" s="13"/>
      <c r="N47" s="67" t="s">
        <v>1177</v>
      </c>
      <c r="O47" s="16" t="s">
        <v>1185</v>
      </c>
      <c r="P47" s="352"/>
      <c r="Q47" s="352"/>
      <c r="R47" s="353"/>
      <c r="S47" s="353"/>
      <c r="T47" s="355"/>
      <c r="U47" s="7">
        <v>2</v>
      </c>
      <c r="V47" s="7">
        <v>1</v>
      </c>
      <c r="W47" s="7">
        <v>1</v>
      </c>
      <c r="X47" s="10">
        <f t="shared" si="5"/>
        <v>3</v>
      </c>
      <c r="Y47" s="7">
        <v>2</v>
      </c>
      <c r="Z47" s="7">
        <v>3</v>
      </c>
      <c r="AA47" s="10">
        <f t="shared" si="6"/>
        <v>1</v>
      </c>
      <c r="AB47" s="11">
        <f t="shared" si="7"/>
        <v>3</v>
      </c>
      <c r="AC47" s="356"/>
      <c r="AD47" s="17"/>
      <c r="AE47" s="357"/>
      <c r="AF47" s="357"/>
      <c r="AG47" s="358"/>
      <c r="AH47" s="349"/>
      <c r="AI47" s="7"/>
      <c r="AJ47" s="10" t="str">
        <f t="shared" si="8"/>
        <v>CIRQUE</v>
      </c>
      <c r="AK47" s="299" t="str">
        <f t="shared" si="9"/>
        <v>All</v>
      </c>
    </row>
    <row r="48" spans="1:37">
      <c r="A48" s="332" t="str">
        <f>Supplement[[#This Row],[Company]] &amp; "-" &amp; Supplement[[#This Row],[Department]] &amp; "-" &amp; $AT$2 &amp; "-" &amp; TEXT(COUNTIF(INDEX(Supplement[Department],1):Supplement[[#This Row],[Department]],Supplement[[#This Row],[Department]]),"0000")</f>
        <v>CIRQUE-All-Suppliment etc-0043</v>
      </c>
      <c r="B48" s="348" t="s">
        <v>957</v>
      </c>
      <c r="C48" s="16" t="s">
        <v>1036</v>
      </c>
      <c r="D48" s="350" t="s">
        <v>887</v>
      </c>
      <c r="E48" s="350" t="s">
        <v>890</v>
      </c>
      <c r="F48" s="349" t="s">
        <v>1113</v>
      </c>
      <c r="G48" s="14" t="s">
        <v>899</v>
      </c>
      <c r="H48" s="342"/>
      <c r="I48" s="351" t="s">
        <v>1169</v>
      </c>
      <c r="J48" s="351" t="s">
        <v>1174</v>
      </c>
      <c r="K48" s="16"/>
      <c r="L48" s="67" t="s">
        <v>913</v>
      </c>
      <c r="M48" s="13"/>
      <c r="N48" s="67" t="s">
        <v>1177</v>
      </c>
      <c r="O48" s="16" t="s">
        <v>1190</v>
      </c>
      <c r="P48" s="352"/>
      <c r="Q48" s="352"/>
      <c r="R48" s="353"/>
      <c r="S48" s="353"/>
      <c r="T48" s="355"/>
      <c r="U48" s="7">
        <v>2</v>
      </c>
      <c r="V48" s="7">
        <v>1</v>
      </c>
      <c r="W48" s="7">
        <v>1</v>
      </c>
      <c r="X48" s="10">
        <f t="shared" si="5"/>
        <v>3</v>
      </c>
      <c r="Y48" s="7">
        <v>2</v>
      </c>
      <c r="Z48" s="7">
        <v>3</v>
      </c>
      <c r="AA48" s="10">
        <f t="shared" si="6"/>
        <v>1</v>
      </c>
      <c r="AB48" s="11">
        <f t="shared" si="7"/>
        <v>3</v>
      </c>
      <c r="AC48" s="356"/>
      <c r="AD48" s="17"/>
      <c r="AE48" s="357"/>
      <c r="AF48" s="357"/>
      <c r="AG48" s="358"/>
      <c r="AH48" s="349"/>
      <c r="AI48" s="7"/>
      <c r="AJ48" s="10" t="str">
        <f t="shared" si="8"/>
        <v>CIRQUE</v>
      </c>
      <c r="AK48" s="299" t="str">
        <f t="shared" si="9"/>
        <v>All</v>
      </c>
    </row>
    <row r="49" spans="1:37">
      <c r="A49" s="332" t="str">
        <f>Supplement[[#This Row],[Company]] &amp; "-" &amp; Supplement[[#This Row],[Department]] &amp; "-" &amp; $AT$2 &amp; "-" &amp; TEXT(COUNTIF(INDEX(Supplement[Department],1):Supplement[[#This Row],[Department]],Supplement[[#This Row],[Department]]),"0000")</f>
        <v>CIRQUE-All-Suppliment etc-0044</v>
      </c>
      <c r="B49" s="348" t="s">
        <v>958</v>
      </c>
      <c r="C49" s="16" t="s">
        <v>1037</v>
      </c>
      <c r="D49" s="350" t="s">
        <v>887</v>
      </c>
      <c r="E49" s="350" t="s">
        <v>890</v>
      </c>
      <c r="F49" s="349" t="s">
        <v>1114</v>
      </c>
      <c r="G49" s="14" t="s">
        <v>899</v>
      </c>
      <c r="H49" s="342"/>
      <c r="I49" s="351" t="s">
        <v>1169</v>
      </c>
      <c r="J49" s="351" t="s">
        <v>1174</v>
      </c>
      <c r="K49" s="16"/>
      <c r="L49" s="67" t="s">
        <v>913</v>
      </c>
      <c r="M49" s="13"/>
      <c r="N49" s="67" t="s">
        <v>1177</v>
      </c>
      <c r="O49" s="16" t="s">
        <v>1185</v>
      </c>
      <c r="P49" s="352"/>
      <c r="Q49" s="352"/>
      <c r="R49" s="353"/>
      <c r="S49" s="353"/>
      <c r="T49" s="355"/>
      <c r="U49" s="7">
        <v>2</v>
      </c>
      <c r="V49" s="7">
        <v>1</v>
      </c>
      <c r="W49" s="7">
        <v>1</v>
      </c>
      <c r="X49" s="10">
        <f t="shared" si="5"/>
        <v>3</v>
      </c>
      <c r="Y49" s="7">
        <v>2</v>
      </c>
      <c r="Z49" s="7">
        <v>3</v>
      </c>
      <c r="AA49" s="10">
        <f t="shared" si="6"/>
        <v>1</v>
      </c>
      <c r="AB49" s="11">
        <f t="shared" si="7"/>
        <v>3</v>
      </c>
      <c r="AC49" s="356"/>
      <c r="AD49" s="17"/>
      <c r="AE49" s="357"/>
      <c r="AF49" s="357"/>
      <c r="AG49" s="358"/>
      <c r="AH49" s="349"/>
      <c r="AI49" s="7"/>
      <c r="AJ49" s="10" t="str">
        <f t="shared" si="8"/>
        <v>CIRQUE</v>
      </c>
      <c r="AK49" s="299" t="str">
        <f t="shared" si="9"/>
        <v>All</v>
      </c>
    </row>
    <row r="50" spans="1:37">
      <c r="A50" s="332" t="str">
        <f>Supplement[[#This Row],[Company]] &amp; "-" &amp; Supplement[[#This Row],[Department]] &amp; "-" &amp; $AT$2 &amp; "-" &amp; TEXT(COUNTIF(INDEX(Supplement[Department],1):Supplement[[#This Row],[Department]],Supplement[[#This Row],[Department]]),"0000")</f>
        <v>CIRQUE-All-Suppliment etc-0045</v>
      </c>
      <c r="B50" s="348">
        <v>0</v>
      </c>
      <c r="C50" s="16" t="s">
        <v>1038</v>
      </c>
      <c r="D50" s="350" t="s">
        <v>887</v>
      </c>
      <c r="E50" s="350" t="s">
        <v>890</v>
      </c>
      <c r="F50" s="349" t="s">
        <v>1115</v>
      </c>
      <c r="G50" s="14" t="s">
        <v>899</v>
      </c>
      <c r="H50" s="342"/>
      <c r="I50" s="351" t="s">
        <v>1169</v>
      </c>
      <c r="J50" s="351" t="s">
        <v>1174</v>
      </c>
      <c r="K50" s="16"/>
      <c r="L50" s="67" t="s">
        <v>913</v>
      </c>
      <c r="M50" s="13"/>
      <c r="N50" s="67" t="s">
        <v>1177</v>
      </c>
      <c r="O50" s="16" t="s">
        <v>1185</v>
      </c>
      <c r="P50" s="352"/>
      <c r="Q50" s="352"/>
      <c r="R50" s="353"/>
      <c r="S50" s="353"/>
      <c r="T50" s="355"/>
      <c r="U50" s="7">
        <v>2</v>
      </c>
      <c r="V50" s="7">
        <v>1</v>
      </c>
      <c r="W50" s="7">
        <v>1</v>
      </c>
      <c r="X50" s="10">
        <f t="shared" si="5"/>
        <v>3</v>
      </c>
      <c r="Y50" s="7">
        <v>2</v>
      </c>
      <c r="Z50" s="7">
        <v>3</v>
      </c>
      <c r="AA50" s="10">
        <f t="shared" si="6"/>
        <v>1</v>
      </c>
      <c r="AB50" s="11">
        <f t="shared" si="7"/>
        <v>3</v>
      </c>
      <c r="AC50" s="356"/>
      <c r="AD50" s="17"/>
      <c r="AE50" s="357"/>
      <c r="AF50" s="357"/>
      <c r="AG50" s="358"/>
      <c r="AH50" s="349"/>
      <c r="AI50" s="7"/>
      <c r="AJ50" s="10" t="str">
        <f t="shared" si="8"/>
        <v>CIRQUE</v>
      </c>
      <c r="AK50" s="299" t="str">
        <f t="shared" si="9"/>
        <v>All</v>
      </c>
    </row>
    <row r="51" spans="1:37">
      <c r="A51" s="332" t="str">
        <f>Supplement[[#This Row],[Company]] &amp; "-" &amp; Supplement[[#This Row],[Department]] &amp; "-" &amp; $AT$2 &amp; "-" &amp; TEXT(COUNTIF(INDEX(Supplement[Department],1):Supplement[[#This Row],[Department]],Supplement[[#This Row],[Department]]),"0000")</f>
        <v>CIRQUE-All-Suppliment etc-0046</v>
      </c>
      <c r="B51" s="348" t="s">
        <v>959</v>
      </c>
      <c r="C51" s="16" t="s">
        <v>1039</v>
      </c>
      <c r="D51" s="350" t="s">
        <v>887</v>
      </c>
      <c r="E51" s="350" t="s">
        <v>890</v>
      </c>
      <c r="F51" s="349" t="s">
        <v>1116</v>
      </c>
      <c r="G51" s="14" t="s">
        <v>899</v>
      </c>
      <c r="H51" s="342"/>
      <c r="I51" s="351" t="s">
        <v>1169</v>
      </c>
      <c r="J51" s="351" t="s">
        <v>1174</v>
      </c>
      <c r="K51" s="16"/>
      <c r="L51" s="67" t="s">
        <v>913</v>
      </c>
      <c r="M51" s="13"/>
      <c r="N51" s="67" t="s">
        <v>1177</v>
      </c>
      <c r="O51" s="16" t="s">
        <v>1190</v>
      </c>
      <c r="P51" s="352"/>
      <c r="Q51" s="352"/>
      <c r="R51" s="353"/>
      <c r="S51" s="353"/>
      <c r="T51" s="355"/>
      <c r="U51" s="7">
        <v>2</v>
      </c>
      <c r="V51" s="7">
        <v>1</v>
      </c>
      <c r="W51" s="7">
        <v>1</v>
      </c>
      <c r="X51" s="10">
        <f t="shared" si="5"/>
        <v>3</v>
      </c>
      <c r="Y51" s="7">
        <v>2</v>
      </c>
      <c r="Z51" s="7">
        <v>3</v>
      </c>
      <c r="AA51" s="10">
        <f t="shared" si="6"/>
        <v>1</v>
      </c>
      <c r="AB51" s="11">
        <f t="shared" si="7"/>
        <v>3</v>
      </c>
      <c r="AC51" s="356"/>
      <c r="AD51" s="17"/>
      <c r="AE51" s="357"/>
      <c r="AF51" s="357"/>
      <c r="AG51" s="358"/>
      <c r="AH51" s="349"/>
      <c r="AI51" s="7"/>
      <c r="AJ51" s="10" t="str">
        <f t="shared" si="8"/>
        <v>CIRQUE</v>
      </c>
      <c r="AK51" s="299" t="str">
        <f t="shared" si="9"/>
        <v>All</v>
      </c>
    </row>
    <row r="52" spans="1:37">
      <c r="A52" s="332" t="str">
        <f>Supplement[[#This Row],[Company]] &amp; "-" &amp; Supplement[[#This Row],[Department]] &amp; "-" &amp; $AT$2 &amp; "-" &amp; TEXT(COUNTIF(INDEX(Supplement[Department],1):Supplement[[#This Row],[Department]],Supplement[[#This Row],[Department]]),"0000")</f>
        <v>CIRQUE-All-Suppliment etc-0047</v>
      </c>
      <c r="B52" s="348">
        <v>0</v>
      </c>
      <c r="C52" s="16" t="s">
        <v>1040</v>
      </c>
      <c r="D52" s="350" t="s">
        <v>887</v>
      </c>
      <c r="E52" s="350" t="s">
        <v>890</v>
      </c>
      <c r="F52" s="349" t="s">
        <v>1117</v>
      </c>
      <c r="G52" s="14" t="s">
        <v>899</v>
      </c>
      <c r="H52" s="342"/>
      <c r="I52" s="351" t="s">
        <v>1169</v>
      </c>
      <c r="J52" s="351" t="s">
        <v>1174</v>
      </c>
      <c r="K52" s="16"/>
      <c r="L52" s="67" t="s">
        <v>913</v>
      </c>
      <c r="M52" s="13"/>
      <c r="N52" s="67" t="s">
        <v>1177</v>
      </c>
      <c r="O52" s="16" t="s">
        <v>1191</v>
      </c>
      <c r="P52" s="352"/>
      <c r="Q52" s="352"/>
      <c r="R52" s="353"/>
      <c r="S52" s="353"/>
      <c r="T52" s="355"/>
      <c r="U52" s="7">
        <v>2</v>
      </c>
      <c r="V52" s="7">
        <v>1</v>
      </c>
      <c r="W52" s="7">
        <v>1</v>
      </c>
      <c r="X52" s="10">
        <f t="shared" si="5"/>
        <v>3</v>
      </c>
      <c r="Y52" s="7">
        <v>2</v>
      </c>
      <c r="Z52" s="7">
        <v>3</v>
      </c>
      <c r="AA52" s="10">
        <f t="shared" si="6"/>
        <v>1</v>
      </c>
      <c r="AB52" s="11">
        <f t="shared" si="7"/>
        <v>3</v>
      </c>
      <c r="AC52" s="356"/>
      <c r="AD52" s="17"/>
      <c r="AE52" s="357"/>
      <c r="AF52" s="357"/>
      <c r="AG52" s="358"/>
      <c r="AH52" s="349"/>
      <c r="AI52" s="7"/>
      <c r="AJ52" s="10" t="str">
        <f t="shared" si="8"/>
        <v>CIRQUE</v>
      </c>
      <c r="AK52" s="299" t="str">
        <f t="shared" si="9"/>
        <v>All</v>
      </c>
    </row>
    <row r="53" spans="1:37">
      <c r="A53" s="332" t="str">
        <f>Supplement[[#This Row],[Company]] &amp; "-" &amp; Supplement[[#This Row],[Department]] &amp; "-" &amp; $AT$2 &amp; "-" &amp; TEXT(COUNTIF(INDEX(Supplement[Department],1):Supplement[[#This Row],[Department]],Supplement[[#This Row],[Department]]),"0000")</f>
        <v>CIRQUE-All-Suppliment etc-0048</v>
      </c>
      <c r="B53" s="348" t="s">
        <v>960</v>
      </c>
      <c r="C53" s="16" t="s">
        <v>1041</v>
      </c>
      <c r="D53" s="350" t="s">
        <v>887</v>
      </c>
      <c r="E53" s="350" t="s">
        <v>890</v>
      </c>
      <c r="F53" s="349" t="s">
        <v>1118</v>
      </c>
      <c r="G53" s="14" t="s">
        <v>899</v>
      </c>
      <c r="H53" s="342"/>
      <c r="I53" s="351" t="s">
        <v>1169</v>
      </c>
      <c r="J53" s="351" t="s">
        <v>1174</v>
      </c>
      <c r="K53" s="16"/>
      <c r="L53" s="67" t="s">
        <v>913</v>
      </c>
      <c r="M53" s="13"/>
      <c r="N53" s="67" t="s">
        <v>1177</v>
      </c>
      <c r="O53" s="16" t="s">
        <v>1185</v>
      </c>
      <c r="P53" s="352"/>
      <c r="Q53" s="352"/>
      <c r="R53" s="353"/>
      <c r="S53" s="353"/>
      <c r="T53" s="355"/>
      <c r="U53" s="7">
        <v>2</v>
      </c>
      <c r="V53" s="7">
        <v>1</v>
      </c>
      <c r="W53" s="7">
        <v>1</v>
      </c>
      <c r="X53" s="10">
        <f t="shared" si="5"/>
        <v>3</v>
      </c>
      <c r="Y53" s="7">
        <v>2</v>
      </c>
      <c r="Z53" s="7">
        <v>3</v>
      </c>
      <c r="AA53" s="10">
        <f t="shared" si="6"/>
        <v>1</v>
      </c>
      <c r="AB53" s="11">
        <f t="shared" si="7"/>
        <v>3</v>
      </c>
      <c r="AC53" s="356"/>
      <c r="AD53" s="17"/>
      <c r="AE53" s="357"/>
      <c r="AF53" s="357"/>
      <c r="AG53" s="358"/>
      <c r="AH53" s="349"/>
      <c r="AI53" s="7"/>
      <c r="AJ53" s="10" t="str">
        <f t="shared" si="8"/>
        <v>CIRQUE</v>
      </c>
      <c r="AK53" s="299" t="str">
        <f t="shared" si="9"/>
        <v>All</v>
      </c>
    </row>
    <row r="54" spans="1:37">
      <c r="A54" s="332" t="str">
        <f>Supplement[[#This Row],[Company]] &amp; "-" &amp; Supplement[[#This Row],[Department]] &amp; "-" &amp; $AT$2 &amp; "-" &amp; TEXT(COUNTIF(INDEX(Supplement[Department],1):Supplement[[#This Row],[Department]],Supplement[[#This Row],[Department]]),"0000")</f>
        <v>CIRQUE-All-Suppliment etc-0049</v>
      </c>
      <c r="B54" s="348" t="s">
        <v>961</v>
      </c>
      <c r="C54" s="16" t="s">
        <v>1042</v>
      </c>
      <c r="D54" s="350" t="s">
        <v>887</v>
      </c>
      <c r="E54" s="350" t="s">
        <v>890</v>
      </c>
      <c r="F54" s="349" t="s">
        <v>1119</v>
      </c>
      <c r="G54" s="14" t="s">
        <v>899</v>
      </c>
      <c r="H54" s="342"/>
      <c r="I54" s="351" t="s">
        <v>1169</v>
      </c>
      <c r="J54" s="351" t="s">
        <v>1174</v>
      </c>
      <c r="K54" s="16"/>
      <c r="L54" s="67" t="s">
        <v>913</v>
      </c>
      <c r="M54" s="13"/>
      <c r="N54" s="67" t="s">
        <v>1177</v>
      </c>
      <c r="O54" s="16" t="s">
        <v>1190</v>
      </c>
      <c r="P54" s="352"/>
      <c r="Q54" s="352"/>
      <c r="R54" s="353"/>
      <c r="S54" s="353"/>
      <c r="T54" s="355"/>
      <c r="U54" s="7">
        <v>2</v>
      </c>
      <c r="V54" s="7">
        <v>1</v>
      </c>
      <c r="W54" s="7">
        <v>1</v>
      </c>
      <c r="X54" s="10">
        <f t="shared" si="5"/>
        <v>3</v>
      </c>
      <c r="Y54" s="7">
        <v>2</v>
      </c>
      <c r="Z54" s="7">
        <v>3</v>
      </c>
      <c r="AA54" s="10">
        <f t="shared" si="6"/>
        <v>1</v>
      </c>
      <c r="AB54" s="11">
        <f t="shared" si="7"/>
        <v>3</v>
      </c>
      <c r="AC54" s="356"/>
      <c r="AD54" s="17"/>
      <c r="AE54" s="357"/>
      <c r="AF54" s="357"/>
      <c r="AG54" s="358"/>
      <c r="AH54" s="349"/>
      <c r="AI54" s="7"/>
      <c r="AJ54" s="10" t="str">
        <f t="shared" si="8"/>
        <v>CIRQUE</v>
      </c>
      <c r="AK54" s="299" t="str">
        <f t="shared" si="9"/>
        <v>All</v>
      </c>
    </row>
    <row r="55" spans="1:37">
      <c r="A55" s="332" t="str">
        <f>Supplement[[#This Row],[Company]] &amp; "-" &amp; Supplement[[#This Row],[Department]] &amp; "-" &amp; $AT$2 &amp; "-" &amp; TEXT(COUNTIF(INDEX(Supplement[Department],1):Supplement[[#This Row],[Department]],Supplement[[#This Row],[Department]]),"0000")</f>
        <v>CIRQUE-All-Suppliment etc-0050</v>
      </c>
      <c r="B55" s="348" t="s">
        <v>962</v>
      </c>
      <c r="C55" s="16" t="s">
        <v>1043</v>
      </c>
      <c r="D55" s="350" t="s">
        <v>887</v>
      </c>
      <c r="E55" s="350" t="s">
        <v>890</v>
      </c>
      <c r="F55" s="349" t="s">
        <v>1119</v>
      </c>
      <c r="G55" s="14" t="s">
        <v>899</v>
      </c>
      <c r="H55" s="342"/>
      <c r="I55" s="351" t="s">
        <v>1169</v>
      </c>
      <c r="J55" s="351" t="s">
        <v>1174</v>
      </c>
      <c r="K55" s="16"/>
      <c r="L55" s="67" t="s">
        <v>913</v>
      </c>
      <c r="M55" s="13"/>
      <c r="N55" s="67" t="s">
        <v>1177</v>
      </c>
      <c r="O55" s="16" t="s">
        <v>1190</v>
      </c>
      <c r="P55" s="352"/>
      <c r="Q55" s="352"/>
      <c r="R55" s="353"/>
      <c r="S55" s="353"/>
      <c r="T55" s="355"/>
      <c r="U55" s="7">
        <v>2</v>
      </c>
      <c r="V55" s="7">
        <v>1</v>
      </c>
      <c r="W55" s="7">
        <v>1</v>
      </c>
      <c r="X55" s="10">
        <f t="shared" si="5"/>
        <v>3</v>
      </c>
      <c r="Y55" s="7">
        <v>2</v>
      </c>
      <c r="Z55" s="7">
        <v>3</v>
      </c>
      <c r="AA55" s="10">
        <f t="shared" si="6"/>
        <v>1</v>
      </c>
      <c r="AB55" s="11">
        <f t="shared" si="7"/>
        <v>3</v>
      </c>
      <c r="AC55" s="356"/>
      <c r="AD55" s="17"/>
      <c r="AE55" s="357"/>
      <c r="AF55" s="357"/>
      <c r="AG55" s="358"/>
      <c r="AH55" s="349"/>
      <c r="AI55" s="7"/>
      <c r="AJ55" s="10" t="str">
        <f t="shared" si="8"/>
        <v>CIRQUE</v>
      </c>
      <c r="AK55" s="299" t="str">
        <f t="shared" si="9"/>
        <v>All</v>
      </c>
    </row>
    <row r="56" spans="1:37">
      <c r="A56" s="332" t="str">
        <f>Supplement[[#This Row],[Company]] &amp; "-" &amp; Supplement[[#This Row],[Department]] &amp; "-" &amp; $AT$2 &amp; "-" &amp; TEXT(COUNTIF(INDEX(Supplement[Department],1):Supplement[[#This Row],[Department]],Supplement[[#This Row],[Department]]),"0000")</f>
        <v>CIRQUE-All-Suppliment etc-0051</v>
      </c>
      <c r="B56" s="348" t="s">
        <v>963</v>
      </c>
      <c r="C56" s="16" t="s">
        <v>1044</v>
      </c>
      <c r="D56" s="350" t="s">
        <v>887</v>
      </c>
      <c r="E56" s="350" t="s">
        <v>890</v>
      </c>
      <c r="F56" s="349" t="s">
        <v>1120</v>
      </c>
      <c r="G56" s="14" t="s">
        <v>899</v>
      </c>
      <c r="H56" s="342"/>
      <c r="I56" s="351" t="s">
        <v>1169</v>
      </c>
      <c r="J56" s="351" t="s">
        <v>1174</v>
      </c>
      <c r="K56" s="16"/>
      <c r="L56" s="67" t="s">
        <v>913</v>
      </c>
      <c r="M56" s="13"/>
      <c r="N56" s="67" t="s">
        <v>1177</v>
      </c>
      <c r="O56" s="16" t="s">
        <v>1190</v>
      </c>
      <c r="P56" s="352"/>
      <c r="Q56" s="352"/>
      <c r="R56" s="353"/>
      <c r="S56" s="353"/>
      <c r="T56" s="355"/>
      <c r="U56" s="7">
        <v>2</v>
      </c>
      <c r="V56" s="7">
        <v>1</v>
      </c>
      <c r="W56" s="7">
        <v>1</v>
      </c>
      <c r="X56" s="10">
        <f t="shared" si="5"/>
        <v>3</v>
      </c>
      <c r="Y56" s="7">
        <v>2</v>
      </c>
      <c r="Z56" s="7">
        <v>3</v>
      </c>
      <c r="AA56" s="10">
        <f t="shared" si="6"/>
        <v>1</v>
      </c>
      <c r="AB56" s="11">
        <f t="shared" si="7"/>
        <v>3</v>
      </c>
      <c r="AC56" s="356"/>
      <c r="AD56" s="17"/>
      <c r="AE56" s="357"/>
      <c r="AF56" s="357"/>
      <c r="AG56" s="358"/>
      <c r="AH56" s="349"/>
      <c r="AI56" s="7"/>
      <c r="AJ56" s="10" t="str">
        <f t="shared" si="8"/>
        <v>CIRQUE</v>
      </c>
      <c r="AK56" s="299" t="str">
        <f t="shared" si="9"/>
        <v>All</v>
      </c>
    </row>
    <row r="57" spans="1:37">
      <c r="A57" s="332" t="str">
        <f>Supplement[[#This Row],[Company]] &amp; "-" &amp; Supplement[[#This Row],[Department]] &amp; "-" &amp; $AT$2 &amp; "-" &amp; TEXT(COUNTIF(INDEX(Supplement[Department],1):Supplement[[#This Row],[Department]],Supplement[[#This Row],[Department]]),"0000")</f>
        <v>CIRQUE-All-Suppliment etc-0052</v>
      </c>
      <c r="B57" s="348">
        <v>0</v>
      </c>
      <c r="C57" s="16" t="s">
        <v>1045</v>
      </c>
      <c r="D57" s="350" t="s">
        <v>887</v>
      </c>
      <c r="E57" s="350" t="s">
        <v>890</v>
      </c>
      <c r="F57" s="349" t="s">
        <v>1121</v>
      </c>
      <c r="G57" s="14" t="s">
        <v>899</v>
      </c>
      <c r="H57" s="342"/>
      <c r="I57" s="351" t="s">
        <v>1169</v>
      </c>
      <c r="J57" s="351" t="s">
        <v>1174</v>
      </c>
      <c r="K57" s="16"/>
      <c r="L57" s="67" t="s">
        <v>913</v>
      </c>
      <c r="M57" s="13"/>
      <c r="N57" s="67" t="s">
        <v>1177</v>
      </c>
      <c r="O57" s="16" t="s">
        <v>1185</v>
      </c>
      <c r="P57" s="352"/>
      <c r="Q57" s="352"/>
      <c r="R57" s="353"/>
      <c r="S57" s="353"/>
      <c r="T57" s="355"/>
      <c r="U57" s="7">
        <v>2</v>
      </c>
      <c r="V57" s="7">
        <v>1</v>
      </c>
      <c r="W57" s="7">
        <v>1</v>
      </c>
      <c r="X57" s="10">
        <f t="shared" si="5"/>
        <v>3</v>
      </c>
      <c r="Y57" s="7">
        <v>2</v>
      </c>
      <c r="Z57" s="7">
        <v>3</v>
      </c>
      <c r="AA57" s="10">
        <f t="shared" si="6"/>
        <v>1</v>
      </c>
      <c r="AB57" s="11">
        <f t="shared" si="7"/>
        <v>3</v>
      </c>
      <c r="AC57" s="356"/>
      <c r="AD57" s="17"/>
      <c r="AE57" s="357"/>
      <c r="AF57" s="357"/>
      <c r="AG57" s="358"/>
      <c r="AH57" s="349"/>
      <c r="AI57" s="7"/>
      <c r="AJ57" s="10" t="str">
        <f t="shared" si="8"/>
        <v>CIRQUE</v>
      </c>
      <c r="AK57" s="299" t="str">
        <f t="shared" si="9"/>
        <v>All</v>
      </c>
    </row>
    <row r="58" spans="1:37">
      <c r="A58" s="332" t="str">
        <f>Supplement[[#This Row],[Company]] &amp; "-" &amp; Supplement[[#This Row],[Department]] &amp; "-" &amp; $AT$2 &amp; "-" &amp; TEXT(COUNTIF(INDEX(Supplement[Department],1):Supplement[[#This Row],[Department]],Supplement[[#This Row],[Department]]),"0000")</f>
        <v>CIRQUE-All-Suppliment etc-0053</v>
      </c>
      <c r="B58" s="348" t="s">
        <v>964</v>
      </c>
      <c r="C58" s="16" t="s">
        <v>1046</v>
      </c>
      <c r="D58" s="350" t="s">
        <v>887</v>
      </c>
      <c r="E58" s="350" t="s">
        <v>890</v>
      </c>
      <c r="F58" s="349" t="s">
        <v>1122</v>
      </c>
      <c r="G58" s="14" t="s">
        <v>899</v>
      </c>
      <c r="H58" s="342"/>
      <c r="I58" s="351" t="s">
        <v>1169</v>
      </c>
      <c r="J58" s="351" t="s">
        <v>1174</v>
      </c>
      <c r="K58" s="16"/>
      <c r="L58" s="67" t="s">
        <v>913</v>
      </c>
      <c r="M58" s="13"/>
      <c r="N58" s="67" t="s">
        <v>1177</v>
      </c>
      <c r="O58" s="16" t="s">
        <v>1190</v>
      </c>
      <c r="P58" s="352"/>
      <c r="Q58" s="352"/>
      <c r="R58" s="353"/>
      <c r="S58" s="353"/>
      <c r="T58" s="355"/>
      <c r="U58" s="7">
        <v>2</v>
      </c>
      <c r="V58" s="7">
        <v>1</v>
      </c>
      <c r="W58" s="7">
        <v>1</v>
      </c>
      <c r="X58" s="10">
        <f t="shared" si="5"/>
        <v>3</v>
      </c>
      <c r="Y58" s="7">
        <v>2</v>
      </c>
      <c r="Z58" s="7">
        <v>3</v>
      </c>
      <c r="AA58" s="10">
        <f t="shared" si="6"/>
        <v>1</v>
      </c>
      <c r="AB58" s="11">
        <f t="shared" si="7"/>
        <v>3</v>
      </c>
      <c r="AC58" s="356"/>
      <c r="AD58" s="17"/>
      <c r="AE58" s="357"/>
      <c r="AF58" s="357"/>
      <c r="AG58" s="358"/>
      <c r="AH58" s="349"/>
      <c r="AI58" s="7"/>
      <c r="AJ58" s="10" t="str">
        <f t="shared" si="8"/>
        <v>CIRQUE</v>
      </c>
      <c r="AK58" s="299" t="str">
        <f t="shared" si="9"/>
        <v>All</v>
      </c>
    </row>
    <row r="59" spans="1:37">
      <c r="A59" s="332" t="str">
        <f>Supplement[[#This Row],[Company]] &amp; "-" &amp; Supplement[[#This Row],[Department]] &amp; "-" &amp; $AT$2 &amp; "-" &amp; TEXT(COUNTIF(INDEX(Supplement[Department],1):Supplement[[#This Row],[Department]],Supplement[[#This Row],[Department]]),"0000")</f>
        <v>CIRQUE-All-Suppliment etc-0054</v>
      </c>
      <c r="B59" s="348" t="s">
        <v>965</v>
      </c>
      <c r="C59" s="16" t="s">
        <v>1047</v>
      </c>
      <c r="D59" s="350" t="s">
        <v>887</v>
      </c>
      <c r="E59" s="350" t="s">
        <v>890</v>
      </c>
      <c r="F59" s="349" t="s">
        <v>1123</v>
      </c>
      <c r="G59" s="14" t="s">
        <v>899</v>
      </c>
      <c r="H59" s="342"/>
      <c r="I59" s="351" t="s">
        <v>1169</v>
      </c>
      <c r="J59" s="351" t="s">
        <v>1174</v>
      </c>
      <c r="K59" s="16"/>
      <c r="L59" s="67" t="s">
        <v>913</v>
      </c>
      <c r="M59" s="13"/>
      <c r="N59" s="67" t="s">
        <v>1177</v>
      </c>
      <c r="O59" s="16" t="s">
        <v>1185</v>
      </c>
      <c r="P59" s="352"/>
      <c r="Q59" s="352"/>
      <c r="R59" s="353"/>
      <c r="S59" s="353"/>
      <c r="T59" s="355"/>
      <c r="U59" s="7">
        <v>2</v>
      </c>
      <c r="V59" s="7">
        <v>1</v>
      </c>
      <c r="W59" s="7">
        <v>1</v>
      </c>
      <c r="X59" s="10">
        <f t="shared" si="5"/>
        <v>3</v>
      </c>
      <c r="Y59" s="7">
        <v>2</v>
      </c>
      <c r="Z59" s="7">
        <v>3</v>
      </c>
      <c r="AA59" s="10">
        <f t="shared" si="6"/>
        <v>1</v>
      </c>
      <c r="AB59" s="11">
        <f t="shared" si="7"/>
        <v>3</v>
      </c>
      <c r="AC59" s="356"/>
      <c r="AD59" s="17"/>
      <c r="AE59" s="357"/>
      <c r="AF59" s="357"/>
      <c r="AG59" s="358"/>
      <c r="AH59" s="349"/>
      <c r="AI59" s="7"/>
      <c r="AJ59" s="10" t="str">
        <f t="shared" si="8"/>
        <v>CIRQUE</v>
      </c>
      <c r="AK59" s="299" t="str">
        <f t="shared" si="9"/>
        <v>All</v>
      </c>
    </row>
    <row r="60" spans="1:37">
      <c r="A60" s="332" t="str">
        <f>Supplement[[#This Row],[Company]] &amp; "-" &amp; Supplement[[#This Row],[Department]] &amp; "-" &amp; $AT$2 &amp; "-" &amp; TEXT(COUNTIF(INDEX(Supplement[Department],1):Supplement[[#This Row],[Department]],Supplement[[#This Row],[Department]]),"0000")</f>
        <v>CIRQUE-All-Suppliment etc-0055</v>
      </c>
      <c r="B60" s="348" t="s">
        <v>966</v>
      </c>
      <c r="C60" s="16" t="s">
        <v>1048</v>
      </c>
      <c r="D60" s="350" t="s">
        <v>887</v>
      </c>
      <c r="E60" s="350" t="s">
        <v>890</v>
      </c>
      <c r="F60" s="349" t="s">
        <v>1124</v>
      </c>
      <c r="G60" s="14" t="s">
        <v>899</v>
      </c>
      <c r="H60" s="342"/>
      <c r="I60" s="351" t="s">
        <v>1169</v>
      </c>
      <c r="J60" s="351" t="s">
        <v>1174</v>
      </c>
      <c r="K60" s="16"/>
      <c r="L60" s="67" t="s">
        <v>913</v>
      </c>
      <c r="M60" s="13"/>
      <c r="N60" s="67" t="s">
        <v>1177</v>
      </c>
      <c r="O60" s="16" t="s">
        <v>1190</v>
      </c>
      <c r="P60" s="352"/>
      <c r="Q60" s="352"/>
      <c r="R60" s="353"/>
      <c r="S60" s="353"/>
      <c r="T60" s="355"/>
      <c r="U60" s="7">
        <v>2</v>
      </c>
      <c r="V60" s="7">
        <v>1</v>
      </c>
      <c r="W60" s="7">
        <v>1</v>
      </c>
      <c r="X60" s="10">
        <f t="shared" si="5"/>
        <v>3</v>
      </c>
      <c r="Y60" s="7">
        <v>2</v>
      </c>
      <c r="Z60" s="7">
        <v>3</v>
      </c>
      <c r="AA60" s="10">
        <f t="shared" si="6"/>
        <v>1</v>
      </c>
      <c r="AB60" s="11">
        <f t="shared" si="7"/>
        <v>3</v>
      </c>
      <c r="AC60" s="356"/>
      <c r="AD60" s="17"/>
      <c r="AE60" s="357"/>
      <c r="AF60" s="357"/>
      <c r="AG60" s="358"/>
      <c r="AH60" s="349"/>
      <c r="AI60" s="7"/>
      <c r="AJ60" s="10" t="str">
        <f t="shared" si="8"/>
        <v>CIRQUE</v>
      </c>
      <c r="AK60" s="299" t="str">
        <f t="shared" si="9"/>
        <v>All</v>
      </c>
    </row>
    <row r="61" spans="1:37">
      <c r="A61" s="332" t="str">
        <f>Supplement[[#This Row],[Company]] &amp; "-" &amp; Supplement[[#This Row],[Department]] &amp; "-" &amp; $AT$2 &amp; "-" &amp; TEXT(COUNTIF(INDEX(Supplement[Department],1):Supplement[[#This Row],[Department]],Supplement[[#This Row],[Department]]),"0000")</f>
        <v>CIRQUE-All-Suppliment etc-0056</v>
      </c>
      <c r="B61" s="348" t="s">
        <v>967</v>
      </c>
      <c r="C61" s="16" t="s">
        <v>1049</v>
      </c>
      <c r="D61" s="350" t="s">
        <v>887</v>
      </c>
      <c r="E61" s="350" t="s">
        <v>890</v>
      </c>
      <c r="F61" s="349" t="s">
        <v>1125</v>
      </c>
      <c r="G61" s="14" t="s">
        <v>899</v>
      </c>
      <c r="H61" s="342"/>
      <c r="I61" s="351" t="s">
        <v>1169</v>
      </c>
      <c r="J61" s="351" t="s">
        <v>1174</v>
      </c>
      <c r="K61" s="16"/>
      <c r="L61" s="67" t="s">
        <v>913</v>
      </c>
      <c r="M61" s="13"/>
      <c r="N61" s="67" t="s">
        <v>1177</v>
      </c>
      <c r="O61" s="16" t="s">
        <v>1190</v>
      </c>
      <c r="P61" s="352"/>
      <c r="Q61" s="352"/>
      <c r="R61" s="353"/>
      <c r="S61" s="353"/>
      <c r="T61" s="355"/>
      <c r="U61" s="7">
        <v>2</v>
      </c>
      <c r="V61" s="7">
        <v>1</v>
      </c>
      <c r="W61" s="7">
        <v>1</v>
      </c>
      <c r="X61" s="10">
        <f t="shared" si="5"/>
        <v>3</v>
      </c>
      <c r="Y61" s="7">
        <v>2</v>
      </c>
      <c r="Z61" s="7">
        <v>3</v>
      </c>
      <c r="AA61" s="10">
        <f t="shared" si="6"/>
        <v>1</v>
      </c>
      <c r="AB61" s="11">
        <f t="shared" si="7"/>
        <v>3</v>
      </c>
      <c r="AC61" s="356"/>
      <c r="AD61" s="17"/>
      <c r="AE61" s="357"/>
      <c r="AF61" s="357"/>
      <c r="AG61" s="358"/>
      <c r="AH61" s="349"/>
      <c r="AI61" s="7"/>
      <c r="AJ61" s="10" t="str">
        <f t="shared" si="8"/>
        <v>CIRQUE</v>
      </c>
      <c r="AK61" s="299" t="str">
        <f t="shared" si="9"/>
        <v>All</v>
      </c>
    </row>
    <row r="62" spans="1:37">
      <c r="A62" s="332" t="str">
        <f>Supplement[[#This Row],[Company]] &amp; "-" &amp; Supplement[[#This Row],[Department]] &amp; "-" &amp; $AT$2 &amp; "-" &amp; TEXT(COUNTIF(INDEX(Supplement[Department],1):Supplement[[#This Row],[Department]],Supplement[[#This Row],[Department]]),"0000")</f>
        <v>CIRQUE-All-Suppliment etc-0057</v>
      </c>
      <c r="B62" s="348" t="s">
        <v>968</v>
      </c>
      <c r="C62" s="16" t="s">
        <v>1050</v>
      </c>
      <c r="D62" s="350" t="s">
        <v>887</v>
      </c>
      <c r="E62" s="350" t="s">
        <v>890</v>
      </c>
      <c r="F62" s="349" t="s">
        <v>1126</v>
      </c>
      <c r="G62" s="14" t="s">
        <v>899</v>
      </c>
      <c r="H62" s="342"/>
      <c r="I62" s="351" t="s">
        <v>1169</v>
      </c>
      <c r="J62" s="351" t="s">
        <v>1174</v>
      </c>
      <c r="K62" s="16"/>
      <c r="L62" s="67" t="s">
        <v>913</v>
      </c>
      <c r="M62" s="13"/>
      <c r="N62" s="67" t="s">
        <v>1177</v>
      </c>
      <c r="O62" s="16" t="s">
        <v>1185</v>
      </c>
      <c r="P62" s="352"/>
      <c r="Q62" s="352"/>
      <c r="R62" s="353"/>
      <c r="S62" s="353"/>
      <c r="T62" s="355"/>
      <c r="U62" s="7">
        <v>2</v>
      </c>
      <c r="V62" s="7">
        <v>1</v>
      </c>
      <c r="W62" s="7">
        <v>1</v>
      </c>
      <c r="X62" s="10">
        <f t="shared" si="5"/>
        <v>3</v>
      </c>
      <c r="Y62" s="7">
        <v>2</v>
      </c>
      <c r="Z62" s="7">
        <v>3</v>
      </c>
      <c r="AA62" s="10">
        <f t="shared" si="6"/>
        <v>1</v>
      </c>
      <c r="AB62" s="11">
        <f t="shared" si="7"/>
        <v>3</v>
      </c>
      <c r="AC62" s="356"/>
      <c r="AD62" s="17"/>
      <c r="AE62" s="357"/>
      <c r="AF62" s="357"/>
      <c r="AG62" s="358"/>
      <c r="AH62" s="349"/>
      <c r="AI62" s="7"/>
      <c r="AJ62" s="10" t="str">
        <f t="shared" si="8"/>
        <v>CIRQUE</v>
      </c>
      <c r="AK62" s="299" t="str">
        <f t="shared" si="9"/>
        <v>All</v>
      </c>
    </row>
    <row r="63" spans="1:37">
      <c r="A63" s="332" t="str">
        <f>Supplement[[#This Row],[Company]] &amp; "-" &amp; Supplement[[#This Row],[Department]] &amp; "-" &amp; $AT$2 &amp; "-" &amp; TEXT(COUNTIF(INDEX(Supplement[Department],1):Supplement[[#This Row],[Department]],Supplement[[#This Row],[Department]]),"0000")</f>
        <v>CIRQUE-All-Suppliment etc-0058</v>
      </c>
      <c r="B63" s="348">
        <v>0</v>
      </c>
      <c r="C63" s="16" t="s">
        <v>1051</v>
      </c>
      <c r="D63" s="350" t="s">
        <v>887</v>
      </c>
      <c r="E63" s="350" t="s">
        <v>890</v>
      </c>
      <c r="F63" s="349" t="s">
        <v>1127</v>
      </c>
      <c r="G63" s="14" t="s">
        <v>899</v>
      </c>
      <c r="H63" s="342"/>
      <c r="I63" s="351" t="s">
        <v>1169</v>
      </c>
      <c r="J63" s="351" t="s">
        <v>1174</v>
      </c>
      <c r="K63" s="16"/>
      <c r="L63" s="67" t="s">
        <v>913</v>
      </c>
      <c r="M63" s="13"/>
      <c r="N63" s="67" t="s">
        <v>1177</v>
      </c>
      <c r="O63" s="16" t="s">
        <v>1191</v>
      </c>
      <c r="P63" s="352"/>
      <c r="Q63" s="352"/>
      <c r="R63" s="353"/>
      <c r="S63" s="353"/>
      <c r="T63" s="355"/>
      <c r="U63" s="7">
        <v>2</v>
      </c>
      <c r="V63" s="7">
        <v>1</v>
      </c>
      <c r="W63" s="7">
        <v>1</v>
      </c>
      <c r="X63" s="10">
        <f t="shared" si="5"/>
        <v>3</v>
      </c>
      <c r="Y63" s="7">
        <v>2</v>
      </c>
      <c r="Z63" s="7">
        <v>3</v>
      </c>
      <c r="AA63" s="10">
        <f t="shared" si="6"/>
        <v>1</v>
      </c>
      <c r="AB63" s="11">
        <f t="shared" si="7"/>
        <v>3</v>
      </c>
      <c r="AC63" s="356"/>
      <c r="AD63" s="17"/>
      <c r="AE63" s="357"/>
      <c r="AF63" s="357"/>
      <c r="AG63" s="358"/>
      <c r="AH63" s="349"/>
      <c r="AI63" s="7"/>
      <c r="AJ63" s="10" t="str">
        <f t="shared" si="8"/>
        <v>CIRQUE</v>
      </c>
      <c r="AK63" s="299" t="str">
        <f t="shared" si="9"/>
        <v>All</v>
      </c>
    </row>
    <row r="64" spans="1:37">
      <c r="A64" s="332" t="str">
        <f>Supplement[[#This Row],[Company]] &amp; "-" &amp; Supplement[[#This Row],[Department]] &amp; "-" &amp; $AT$2 &amp; "-" &amp; TEXT(COUNTIF(INDEX(Supplement[Department],1):Supplement[[#This Row],[Department]],Supplement[[#This Row],[Department]]),"0000")</f>
        <v>CIRQUE-All-Suppliment etc-0059</v>
      </c>
      <c r="B64" s="348" t="s">
        <v>969</v>
      </c>
      <c r="C64" s="16" t="s">
        <v>1052</v>
      </c>
      <c r="D64" s="350" t="s">
        <v>887</v>
      </c>
      <c r="E64" s="350" t="s">
        <v>890</v>
      </c>
      <c r="F64" s="349" t="s">
        <v>1128</v>
      </c>
      <c r="G64" s="14" t="s">
        <v>899</v>
      </c>
      <c r="H64" s="342"/>
      <c r="I64" s="351" t="s">
        <v>1169</v>
      </c>
      <c r="J64" s="351" t="s">
        <v>1174</v>
      </c>
      <c r="K64" s="16"/>
      <c r="L64" s="67" t="s">
        <v>913</v>
      </c>
      <c r="M64" s="13"/>
      <c r="N64" s="67" t="s">
        <v>1177</v>
      </c>
      <c r="O64" s="16" t="s">
        <v>1185</v>
      </c>
      <c r="P64" s="352"/>
      <c r="Q64" s="352"/>
      <c r="R64" s="353"/>
      <c r="S64" s="353"/>
      <c r="T64" s="355"/>
      <c r="U64" s="7">
        <v>2</v>
      </c>
      <c r="V64" s="7">
        <v>1</v>
      </c>
      <c r="W64" s="7">
        <v>1</v>
      </c>
      <c r="X64" s="10">
        <f t="shared" si="5"/>
        <v>3</v>
      </c>
      <c r="Y64" s="7">
        <v>2</v>
      </c>
      <c r="Z64" s="7">
        <v>3</v>
      </c>
      <c r="AA64" s="10">
        <f t="shared" si="6"/>
        <v>1</v>
      </c>
      <c r="AB64" s="11">
        <f t="shared" si="7"/>
        <v>3</v>
      </c>
      <c r="AC64" s="356"/>
      <c r="AD64" s="17"/>
      <c r="AE64" s="357"/>
      <c r="AF64" s="357"/>
      <c r="AG64" s="358"/>
      <c r="AH64" s="349"/>
      <c r="AI64" s="7"/>
      <c r="AJ64" s="10" t="str">
        <f t="shared" si="8"/>
        <v>CIRQUE</v>
      </c>
      <c r="AK64" s="299" t="str">
        <f t="shared" si="9"/>
        <v>All</v>
      </c>
    </row>
    <row r="65" spans="1:37">
      <c r="A65" s="332" t="str">
        <f>Supplement[[#This Row],[Company]] &amp; "-" &amp; Supplement[[#This Row],[Department]] &amp; "-" &amp; $AT$2 &amp; "-" &amp; TEXT(COUNTIF(INDEX(Supplement[Department],1):Supplement[[#This Row],[Department]],Supplement[[#This Row],[Department]]),"0000")</f>
        <v>CIRQUE-All-Suppliment etc-0060</v>
      </c>
      <c r="B65" s="348">
        <v>0</v>
      </c>
      <c r="C65" s="16" t="s">
        <v>1053</v>
      </c>
      <c r="D65" s="350" t="s">
        <v>887</v>
      </c>
      <c r="E65" s="350" t="s">
        <v>890</v>
      </c>
      <c r="F65" s="349" t="s">
        <v>1129</v>
      </c>
      <c r="G65" s="14" t="s">
        <v>899</v>
      </c>
      <c r="H65" s="342"/>
      <c r="I65" s="351" t="s">
        <v>1169</v>
      </c>
      <c r="J65" s="351" t="s">
        <v>1174</v>
      </c>
      <c r="K65" s="16"/>
      <c r="L65" s="67" t="s">
        <v>913</v>
      </c>
      <c r="M65" s="13"/>
      <c r="N65" s="67" t="s">
        <v>1177</v>
      </c>
      <c r="O65" s="16" t="s">
        <v>1185</v>
      </c>
      <c r="P65" s="352"/>
      <c r="Q65" s="352"/>
      <c r="R65" s="353"/>
      <c r="S65" s="353"/>
      <c r="T65" s="355"/>
      <c r="U65" s="7">
        <v>2</v>
      </c>
      <c r="V65" s="7">
        <v>1</v>
      </c>
      <c r="W65" s="7">
        <v>1</v>
      </c>
      <c r="X65" s="10">
        <f t="shared" si="5"/>
        <v>3</v>
      </c>
      <c r="Y65" s="7">
        <v>2</v>
      </c>
      <c r="Z65" s="7">
        <v>3</v>
      </c>
      <c r="AA65" s="10">
        <f t="shared" si="6"/>
        <v>1</v>
      </c>
      <c r="AB65" s="11">
        <f t="shared" si="7"/>
        <v>3</v>
      </c>
      <c r="AC65" s="356"/>
      <c r="AD65" s="17"/>
      <c r="AE65" s="357"/>
      <c r="AF65" s="357"/>
      <c r="AG65" s="358"/>
      <c r="AH65" s="349"/>
      <c r="AI65" s="7"/>
      <c r="AJ65" s="10" t="str">
        <f t="shared" si="8"/>
        <v>CIRQUE</v>
      </c>
      <c r="AK65" s="299" t="str">
        <f t="shared" si="9"/>
        <v>All</v>
      </c>
    </row>
    <row r="66" spans="1:37">
      <c r="A66" s="332" t="str">
        <f>Supplement[[#This Row],[Company]] &amp; "-" &amp; Supplement[[#This Row],[Department]] &amp; "-" &amp; $AT$2 &amp; "-" &amp; TEXT(COUNTIF(INDEX(Supplement[Department],1):Supplement[[#This Row],[Department]],Supplement[[#This Row],[Department]]),"0000")</f>
        <v>CIRQUE-All-Suppliment etc-0061</v>
      </c>
      <c r="B66" s="348" t="s">
        <v>970</v>
      </c>
      <c r="C66" s="16" t="s">
        <v>1054</v>
      </c>
      <c r="D66" s="350" t="s">
        <v>887</v>
      </c>
      <c r="E66" s="350" t="s">
        <v>890</v>
      </c>
      <c r="F66" s="349" t="s">
        <v>1130</v>
      </c>
      <c r="G66" s="14" t="s">
        <v>899</v>
      </c>
      <c r="H66" s="342"/>
      <c r="I66" s="351" t="s">
        <v>1169</v>
      </c>
      <c r="J66" s="351" t="s">
        <v>1174</v>
      </c>
      <c r="K66" s="16"/>
      <c r="L66" s="67" t="s">
        <v>913</v>
      </c>
      <c r="M66" s="13"/>
      <c r="N66" s="67" t="s">
        <v>1177</v>
      </c>
      <c r="O66" s="16" t="s">
        <v>1190</v>
      </c>
      <c r="P66" s="352"/>
      <c r="Q66" s="352"/>
      <c r="R66" s="353"/>
      <c r="S66" s="353"/>
      <c r="T66" s="355"/>
      <c r="U66" s="7">
        <v>2</v>
      </c>
      <c r="V66" s="7">
        <v>1</v>
      </c>
      <c r="W66" s="7">
        <v>1</v>
      </c>
      <c r="X66" s="10">
        <f t="shared" si="5"/>
        <v>3</v>
      </c>
      <c r="Y66" s="7">
        <v>2</v>
      </c>
      <c r="Z66" s="7">
        <v>3</v>
      </c>
      <c r="AA66" s="10">
        <f t="shared" si="6"/>
        <v>1</v>
      </c>
      <c r="AB66" s="11">
        <f t="shared" si="7"/>
        <v>3</v>
      </c>
      <c r="AC66" s="356"/>
      <c r="AD66" s="17"/>
      <c r="AE66" s="357"/>
      <c r="AF66" s="357"/>
      <c r="AG66" s="358"/>
      <c r="AH66" s="349"/>
      <c r="AI66" s="7"/>
      <c r="AJ66" s="10" t="str">
        <f t="shared" si="8"/>
        <v>CIRQUE</v>
      </c>
      <c r="AK66" s="299" t="str">
        <f t="shared" si="9"/>
        <v>All</v>
      </c>
    </row>
    <row r="67" spans="1:37">
      <c r="A67" s="332" t="str">
        <f>Supplement[[#This Row],[Company]] &amp; "-" &amp; Supplement[[#This Row],[Department]] &amp; "-" &amp; $AT$2 &amp; "-" &amp; TEXT(COUNTIF(INDEX(Supplement[Department],1):Supplement[[#This Row],[Department]],Supplement[[#This Row],[Department]]),"0000")</f>
        <v>CIRQUE-All-Suppliment etc-0062</v>
      </c>
      <c r="B67" s="348" t="s">
        <v>971</v>
      </c>
      <c r="C67" s="16" t="s">
        <v>1055</v>
      </c>
      <c r="D67" s="350" t="s">
        <v>887</v>
      </c>
      <c r="E67" s="350" t="s">
        <v>890</v>
      </c>
      <c r="F67" s="349" t="s">
        <v>1131</v>
      </c>
      <c r="G67" s="14" t="s">
        <v>899</v>
      </c>
      <c r="H67" s="342"/>
      <c r="I67" s="351" t="s">
        <v>1169</v>
      </c>
      <c r="J67" s="351" t="s">
        <v>1174</v>
      </c>
      <c r="K67" s="16"/>
      <c r="L67" s="67" t="s">
        <v>913</v>
      </c>
      <c r="M67" s="13"/>
      <c r="N67" s="67" t="s">
        <v>1177</v>
      </c>
      <c r="O67" s="16" t="s">
        <v>1185</v>
      </c>
      <c r="P67" s="352"/>
      <c r="Q67" s="352"/>
      <c r="R67" s="353"/>
      <c r="S67" s="353"/>
      <c r="T67" s="355"/>
      <c r="U67" s="7">
        <v>2</v>
      </c>
      <c r="V67" s="7">
        <v>1</v>
      </c>
      <c r="W67" s="7">
        <v>1</v>
      </c>
      <c r="X67" s="10">
        <f t="shared" si="5"/>
        <v>3</v>
      </c>
      <c r="Y67" s="7">
        <v>2</v>
      </c>
      <c r="Z67" s="7">
        <v>3</v>
      </c>
      <c r="AA67" s="10">
        <f t="shared" si="6"/>
        <v>1</v>
      </c>
      <c r="AB67" s="11">
        <f t="shared" si="7"/>
        <v>3</v>
      </c>
      <c r="AC67" s="356"/>
      <c r="AD67" s="17"/>
      <c r="AE67" s="357"/>
      <c r="AF67" s="357"/>
      <c r="AG67" s="358"/>
      <c r="AH67" s="349"/>
      <c r="AI67" s="7"/>
      <c r="AJ67" s="10" t="str">
        <f t="shared" si="8"/>
        <v>CIRQUE</v>
      </c>
      <c r="AK67" s="299" t="str">
        <f t="shared" si="9"/>
        <v>All</v>
      </c>
    </row>
    <row r="68" spans="1:37">
      <c r="A68" s="332" t="str">
        <f>Supplement[[#This Row],[Company]] &amp; "-" &amp; Supplement[[#This Row],[Department]] &amp; "-" &amp; $AT$2 &amp; "-" &amp; TEXT(COUNTIF(INDEX(Supplement[Department],1):Supplement[[#This Row],[Department]],Supplement[[#This Row],[Department]]),"0000")</f>
        <v>CIRQUE-All-Suppliment etc-0063</v>
      </c>
      <c r="B68" s="348">
        <v>0</v>
      </c>
      <c r="C68" s="16" t="s">
        <v>1056</v>
      </c>
      <c r="D68" s="350" t="s">
        <v>887</v>
      </c>
      <c r="E68" s="350" t="s">
        <v>890</v>
      </c>
      <c r="F68" s="349" t="s">
        <v>1132</v>
      </c>
      <c r="G68" s="14" t="s">
        <v>899</v>
      </c>
      <c r="H68" s="342"/>
      <c r="I68" s="351" t="s">
        <v>1169</v>
      </c>
      <c r="J68" s="351" t="s">
        <v>1174</v>
      </c>
      <c r="K68" s="16"/>
      <c r="L68" s="67" t="s">
        <v>913</v>
      </c>
      <c r="M68" s="13"/>
      <c r="N68" s="67" t="s">
        <v>1177</v>
      </c>
      <c r="O68" s="16" t="s">
        <v>1185</v>
      </c>
      <c r="P68" s="352"/>
      <c r="Q68" s="352"/>
      <c r="R68" s="353"/>
      <c r="S68" s="353"/>
      <c r="T68" s="355"/>
      <c r="U68" s="7">
        <v>2</v>
      </c>
      <c r="V68" s="7">
        <v>1</v>
      </c>
      <c r="W68" s="7">
        <v>1</v>
      </c>
      <c r="X68" s="10">
        <f t="shared" si="5"/>
        <v>3</v>
      </c>
      <c r="Y68" s="7">
        <v>2</v>
      </c>
      <c r="Z68" s="7">
        <v>3</v>
      </c>
      <c r="AA68" s="10">
        <f t="shared" si="6"/>
        <v>1</v>
      </c>
      <c r="AB68" s="11">
        <f t="shared" si="7"/>
        <v>3</v>
      </c>
      <c r="AC68" s="356"/>
      <c r="AD68" s="17"/>
      <c r="AE68" s="357"/>
      <c r="AF68" s="357"/>
      <c r="AG68" s="358"/>
      <c r="AH68" s="349"/>
      <c r="AI68" s="7"/>
      <c r="AJ68" s="10" t="str">
        <f t="shared" si="8"/>
        <v>CIRQUE</v>
      </c>
      <c r="AK68" s="299" t="str">
        <f t="shared" si="9"/>
        <v>All</v>
      </c>
    </row>
    <row r="69" spans="1:37">
      <c r="A69" s="332" t="str">
        <f>Supplement[[#This Row],[Company]] &amp; "-" &amp; Supplement[[#This Row],[Department]] &amp; "-" &amp; $AT$2 &amp; "-" &amp; TEXT(COUNTIF(INDEX(Supplement[Department],1):Supplement[[#This Row],[Department]],Supplement[[#This Row],[Department]]),"0000")</f>
        <v>CIRQUE-All-Suppliment etc-0064</v>
      </c>
      <c r="B69" s="348">
        <v>0</v>
      </c>
      <c r="C69" s="16" t="s">
        <v>1057</v>
      </c>
      <c r="D69" s="350" t="s">
        <v>887</v>
      </c>
      <c r="E69" s="350" t="s">
        <v>890</v>
      </c>
      <c r="F69" s="349" t="s">
        <v>1133</v>
      </c>
      <c r="G69" s="14" t="s">
        <v>899</v>
      </c>
      <c r="H69" s="342"/>
      <c r="I69" s="351" t="s">
        <v>1169</v>
      </c>
      <c r="J69" s="351" t="s">
        <v>1174</v>
      </c>
      <c r="K69" s="16"/>
      <c r="L69" s="67" t="s">
        <v>913</v>
      </c>
      <c r="M69" s="13"/>
      <c r="N69" s="67" t="s">
        <v>1177</v>
      </c>
      <c r="O69" s="16" t="s">
        <v>1191</v>
      </c>
      <c r="P69" s="352"/>
      <c r="Q69" s="352"/>
      <c r="R69" s="353"/>
      <c r="S69" s="353"/>
      <c r="T69" s="355"/>
      <c r="U69" s="7">
        <v>2</v>
      </c>
      <c r="V69" s="7">
        <v>1</v>
      </c>
      <c r="W69" s="7">
        <v>1</v>
      </c>
      <c r="X69" s="10">
        <f t="shared" si="5"/>
        <v>3</v>
      </c>
      <c r="Y69" s="7">
        <v>2</v>
      </c>
      <c r="Z69" s="7">
        <v>3</v>
      </c>
      <c r="AA69" s="10">
        <f t="shared" si="6"/>
        <v>1</v>
      </c>
      <c r="AB69" s="11">
        <f t="shared" si="7"/>
        <v>3</v>
      </c>
      <c r="AC69" s="356"/>
      <c r="AD69" s="17"/>
      <c r="AE69" s="357"/>
      <c r="AF69" s="357"/>
      <c r="AG69" s="358"/>
      <c r="AH69" s="349"/>
      <c r="AI69" s="7"/>
      <c r="AJ69" s="10" t="str">
        <f t="shared" si="8"/>
        <v>CIRQUE</v>
      </c>
      <c r="AK69" s="299" t="str">
        <f t="shared" si="9"/>
        <v>All</v>
      </c>
    </row>
    <row r="70" spans="1:37">
      <c r="A70" s="332" t="str">
        <f>Supplement[[#This Row],[Company]] &amp; "-" &amp; Supplement[[#This Row],[Department]] &amp; "-" &amp; $AT$2 &amp; "-" &amp; TEXT(COUNTIF(INDEX(Supplement[Department],1):Supplement[[#This Row],[Department]],Supplement[[#This Row],[Department]]),"0000")</f>
        <v>CIRQUE-All-Suppliment etc-0065</v>
      </c>
      <c r="B70" s="348" t="s">
        <v>972</v>
      </c>
      <c r="C70" s="16" t="s">
        <v>1058</v>
      </c>
      <c r="D70" s="350" t="s">
        <v>887</v>
      </c>
      <c r="E70" s="350" t="s">
        <v>890</v>
      </c>
      <c r="F70" s="349" t="s">
        <v>1134</v>
      </c>
      <c r="G70" s="14" t="s">
        <v>899</v>
      </c>
      <c r="H70" s="342"/>
      <c r="I70" s="351" t="s">
        <v>1169</v>
      </c>
      <c r="J70" s="351" t="s">
        <v>1174</v>
      </c>
      <c r="K70" s="16"/>
      <c r="L70" s="67" t="s">
        <v>913</v>
      </c>
      <c r="M70" s="13"/>
      <c r="N70" s="67" t="s">
        <v>1177</v>
      </c>
      <c r="O70" s="16" t="s">
        <v>1185</v>
      </c>
      <c r="P70" s="352"/>
      <c r="Q70" s="352"/>
      <c r="R70" s="353"/>
      <c r="S70" s="353"/>
      <c r="T70" s="355"/>
      <c r="U70" s="7">
        <v>2</v>
      </c>
      <c r="V70" s="7">
        <v>1</v>
      </c>
      <c r="W70" s="7">
        <v>1</v>
      </c>
      <c r="X70" s="10">
        <f t="shared" si="5"/>
        <v>3</v>
      </c>
      <c r="Y70" s="7">
        <v>2</v>
      </c>
      <c r="Z70" s="7">
        <v>3</v>
      </c>
      <c r="AA70" s="10">
        <f t="shared" si="6"/>
        <v>1</v>
      </c>
      <c r="AB70" s="11">
        <f t="shared" si="7"/>
        <v>3</v>
      </c>
      <c r="AC70" s="356"/>
      <c r="AD70" s="17"/>
      <c r="AE70" s="357"/>
      <c r="AF70" s="357"/>
      <c r="AG70" s="358"/>
      <c r="AH70" s="349"/>
      <c r="AI70" s="7"/>
      <c r="AJ70" s="10" t="str">
        <f t="shared" si="8"/>
        <v>CIRQUE</v>
      </c>
      <c r="AK70" s="299" t="str">
        <f t="shared" si="9"/>
        <v>All</v>
      </c>
    </row>
    <row r="71" spans="1:37">
      <c r="A71" s="332" t="str">
        <f>Supplement[[#This Row],[Company]] &amp; "-" &amp; Supplement[[#This Row],[Department]] &amp; "-" &amp; $AT$2 &amp; "-" &amp; TEXT(COUNTIF(INDEX(Supplement[Department],1):Supplement[[#This Row],[Department]],Supplement[[#This Row],[Department]]),"0000")</f>
        <v>CIRQUE-All-Suppliment etc-0066</v>
      </c>
      <c r="B71" s="348" t="s">
        <v>973</v>
      </c>
      <c r="C71" s="16" t="s">
        <v>1059</v>
      </c>
      <c r="D71" s="350" t="s">
        <v>887</v>
      </c>
      <c r="E71" s="350" t="s">
        <v>890</v>
      </c>
      <c r="F71" s="349" t="s">
        <v>1134</v>
      </c>
      <c r="G71" s="14" t="s">
        <v>899</v>
      </c>
      <c r="H71" s="342"/>
      <c r="I71" s="351" t="s">
        <v>1169</v>
      </c>
      <c r="J71" s="351" t="s">
        <v>1174</v>
      </c>
      <c r="K71" s="16"/>
      <c r="L71" s="67" t="s">
        <v>913</v>
      </c>
      <c r="M71" s="13"/>
      <c r="N71" s="67" t="s">
        <v>1177</v>
      </c>
      <c r="O71" s="16" t="s">
        <v>1185</v>
      </c>
      <c r="P71" s="352"/>
      <c r="Q71" s="352"/>
      <c r="R71" s="353"/>
      <c r="S71" s="353"/>
      <c r="T71" s="355"/>
      <c r="U71" s="7">
        <v>2</v>
      </c>
      <c r="V71" s="7">
        <v>1</v>
      </c>
      <c r="W71" s="7">
        <v>1</v>
      </c>
      <c r="X71" s="10">
        <f t="shared" ref="X71:X100" si="10">MAX(U71:W165)</f>
        <v>3</v>
      </c>
      <c r="Y71" s="7">
        <v>2</v>
      </c>
      <c r="Z71" s="7">
        <v>3</v>
      </c>
      <c r="AA71" s="10">
        <f t="shared" ref="AA71:AA100" si="11">MAXA(Y71-Z71,1)</f>
        <v>1</v>
      </c>
      <c r="AB71" s="11">
        <f t="shared" ref="AB71:AB100" si="12">X71*AA71</f>
        <v>3</v>
      </c>
      <c r="AC71" s="356"/>
      <c r="AD71" s="17"/>
      <c r="AE71" s="357"/>
      <c r="AF71" s="357"/>
      <c r="AG71" s="358"/>
      <c r="AH71" s="349"/>
      <c r="AI71" s="7"/>
      <c r="AJ71" s="10" t="str">
        <f t="shared" ref="AJ71:AJ100" si="13">$F$2</f>
        <v>CIRQUE</v>
      </c>
      <c r="AK71" s="299" t="str">
        <f t="shared" ref="AK71:AK100" si="14">$H$2</f>
        <v>All</v>
      </c>
    </row>
    <row r="72" spans="1:37">
      <c r="A72" s="332" t="str">
        <f>Supplement[[#This Row],[Company]] &amp; "-" &amp; Supplement[[#This Row],[Department]] &amp; "-" &amp; $AT$2 &amp; "-" &amp; TEXT(COUNTIF(INDEX(Supplement[Department],1):Supplement[[#This Row],[Department]],Supplement[[#This Row],[Department]]),"0000")</f>
        <v>CIRQUE-All-Suppliment etc-0067</v>
      </c>
      <c r="B72" s="348" t="s">
        <v>974</v>
      </c>
      <c r="C72" s="16" t="s">
        <v>1060</v>
      </c>
      <c r="D72" s="350" t="s">
        <v>887</v>
      </c>
      <c r="E72" s="350" t="s">
        <v>890</v>
      </c>
      <c r="F72" s="349" t="s">
        <v>1135</v>
      </c>
      <c r="G72" s="14" t="s">
        <v>899</v>
      </c>
      <c r="H72" s="342"/>
      <c r="I72" s="351" t="s">
        <v>1169</v>
      </c>
      <c r="J72" s="351" t="s">
        <v>1174</v>
      </c>
      <c r="K72" s="16"/>
      <c r="L72" s="67" t="s">
        <v>913</v>
      </c>
      <c r="M72" s="13"/>
      <c r="N72" s="67" t="s">
        <v>1177</v>
      </c>
      <c r="O72" s="16" t="s">
        <v>1185</v>
      </c>
      <c r="P72" s="352"/>
      <c r="Q72" s="352"/>
      <c r="R72" s="353"/>
      <c r="S72" s="353"/>
      <c r="T72" s="355"/>
      <c r="U72" s="7">
        <v>2</v>
      </c>
      <c r="V72" s="7">
        <v>1</v>
      </c>
      <c r="W72" s="7">
        <v>1</v>
      </c>
      <c r="X72" s="10">
        <f t="shared" si="10"/>
        <v>3</v>
      </c>
      <c r="Y72" s="7">
        <v>2</v>
      </c>
      <c r="Z72" s="7">
        <v>3</v>
      </c>
      <c r="AA72" s="10">
        <f t="shared" si="11"/>
        <v>1</v>
      </c>
      <c r="AB72" s="11">
        <f t="shared" si="12"/>
        <v>3</v>
      </c>
      <c r="AC72" s="356"/>
      <c r="AD72" s="17"/>
      <c r="AE72" s="357"/>
      <c r="AF72" s="357"/>
      <c r="AG72" s="358"/>
      <c r="AH72" s="349"/>
      <c r="AI72" s="7"/>
      <c r="AJ72" s="10" t="str">
        <f t="shared" si="13"/>
        <v>CIRQUE</v>
      </c>
      <c r="AK72" s="299" t="str">
        <f t="shared" si="14"/>
        <v>All</v>
      </c>
    </row>
    <row r="73" spans="1:37">
      <c r="A73" s="332" t="str">
        <f>Supplement[[#This Row],[Company]] &amp; "-" &amp; Supplement[[#This Row],[Department]] &amp; "-" &amp; $AT$2 &amp; "-" &amp; TEXT(COUNTIF(INDEX(Supplement[Department],1):Supplement[[#This Row],[Department]],Supplement[[#This Row],[Department]]),"0000")</f>
        <v>CIRQUE-All-Suppliment etc-0068</v>
      </c>
      <c r="B73" s="348" t="s">
        <v>975</v>
      </c>
      <c r="C73" s="16" t="s">
        <v>1061</v>
      </c>
      <c r="D73" s="350" t="s">
        <v>887</v>
      </c>
      <c r="E73" s="350" t="s">
        <v>890</v>
      </c>
      <c r="F73" s="349" t="s">
        <v>1136</v>
      </c>
      <c r="G73" s="14" t="s">
        <v>899</v>
      </c>
      <c r="H73" s="342"/>
      <c r="I73" s="351" t="s">
        <v>1169</v>
      </c>
      <c r="J73" s="351" t="s">
        <v>1174</v>
      </c>
      <c r="K73" s="16"/>
      <c r="L73" s="67" t="s">
        <v>913</v>
      </c>
      <c r="M73" s="13"/>
      <c r="N73" s="67" t="s">
        <v>1177</v>
      </c>
      <c r="O73" s="16" t="s">
        <v>1190</v>
      </c>
      <c r="P73" s="352"/>
      <c r="Q73" s="352"/>
      <c r="R73" s="353"/>
      <c r="S73" s="353"/>
      <c r="T73" s="355"/>
      <c r="U73" s="7">
        <v>2</v>
      </c>
      <c r="V73" s="7">
        <v>1</v>
      </c>
      <c r="W73" s="7">
        <v>1</v>
      </c>
      <c r="X73" s="10">
        <f t="shared" si="10"/>
        <v>3</v>
      </c>
      <c r="Y73" s="7">
        <v>2</v>
      </c>
      <c r="Z73" s="7">
        <v>3</v>
      </c>
      <c r="AA73" s="10">
        <f t="shared" si="11"/>
        <v>1</v>
      </c>
      <c r="AB73" s="11">
        <f t="shared" si="12"/>
        <v>3</v>
      </c>
      <c r="AC73" s="356"/>
      <c r="AD73" s="17"/>
      <c r="AE73" s="357"/>
      <c r="AF73" s="357"/>
      <c r="AG73" s="358"/>
      <c r="AH73" s="349"/>
      <c r="AI73" s="7"/>
      <c r="AJ73" s="10" t="str">
        <f t="shared" si="13"/>
        <v>CIRQUE</v>
      </c>
      <c r="AK73" s="299" t="str">
        <f t="shared" si="14"/>
        <v>All</v>
      </c>
    </row>
    <row r="74" spans="1:37">
      <c r="A74" s="332" t="str">
        <f>Supplement[[#This Row],[Company]] &amp; "-" &amp; Supplement[[#This Row],[Department]] &amp; "-" &amp; $AT$2 &amp; "-" &amp; TEXT(COUNTIF(INDEX(Supplement[Department],1):Supplement[[#This Row],[Department]],Supplement[[#This Row],[Department]]),"0000")</f>
        <v>CIRQUE-All-Suppliment etc-0069</v>
      </c>
      <c r="B74" s="348" t="s">
        <v>976</v>
      </c>
      <c r="C74" s="16" t="s">
        <v>1062</v>
      </c>
      <c r="D74" s="350" t="s">
        <v>887</v>
      </c>
      <c r="E74" s="350" t="s">
        <v>890</v>
      </c>
      <c r="F74" s="349" t="s">
        <v>1137</v>
      </c>
      <c r="G74" s="14" t="s">
        <v>899</v>
      </c>
      <c r="H74" s="342"/>
      <c r="I74" s="351" t="s">
        <v>1169</v>
      </c>
      <c r="J74" s="351" t="s">
        <v>1174</v>
      </c>
      <c r="K74" s="16"/>
      <c r="L74" s="67" t="s">
        <v>913</v>
      </c>
      <c r="M74" s="13"/>
      <c r="N74" s="67" t="s">
        <v>1177</v>
      </c>
      <c r="O74" s="16" t="s">
        <v>1190</v>
      </c>
      <c r="P74" s="352"/>
      <c r="Q74" s="352"/>
      <c r="R74" s="353"/>
      <c r="S74" s="353"/>
      <c r="T74" s="355"/>
      <c r="U74" s="7">
        <v>2</v>
      </c>
      <c r="V74" s="7">
        <v>1</v>
      </c>
      <c r="W74" s="7">
        <v>1</v>
      </c>
      <c r="X74" s="10">
        <f t="shared" si="10"/>
        <v>3</v>
      </c>
      <c r="Y74" s="7">
        <v>2</v>
      </c>
      <c r="Z74" s="7">
        <v>3</v>
      </c>
      <c r="AA74" s="10">
        <f t="shared" si="11"/>
        <v>1</v>
      </c>
      <c r="AB74" s="11">
        <f t="shared" si="12"/>
        <v>3</v>
      </c>
      <c r="AC74" s="356"/>
      <c r="AD74" s="17"/>
      <c r="AE74" s="357"/>
      <c r="AF74" s="357"/>
      <c r="AG74" s="358"/>
      <c r="AH74" s="349"/>
      <c r="AI74" s="7"/>
      <c r="AJ74" s="10" t="str">
        <f t="shared" si="13"/>
        <v>CIRQUE</v>
      </c>
      <c r="AK74" s="299" t="str">
        <f t="shared" si="14"/>
        <v>All</v>
      </c>
    </row>
    <row r="75" spans="1:37">
      <c r="A75" s="332" t="str">
        <f>Supplement[[#This Row],[Company]] &amp; "-" &amp; Supplement[[#This Row],[Department]] &amp; "-" &amp; $AT$2 &amp; "-" &amp; TEXT(COUNTIF(INDEX(Supplement[Department],1):Supplement[[#This Row],[Department]],Supplement[[#This Row],[Department]]),"0000")</f>
        <v>CIRQUE-All-Suppliment etc-0070</v>
      </c>
      <c r="B75" s="348" t="s">
        <v>977</v>
      </c>
      <c r="C75" s="16" t="s">
        <v>1063</v>
      </c>
      <c r="D75" s="350" t="s">
        <v>887</v>
      </c>
      <c r="E75" s="350" t="s">
        <v>890</v>
      </c>
      <c r="F75" s="349" t="s">
        <v>1138</v>
      </c>
      <c r="G75" s="14" t="s">
        <v>899</v>
      </c>
      <c r="H75" s="342"/>
      <c r="I75" s="351" t="s">
        <v>1169</v>
      </c>
      <c r="J75" s="351" t="s">
        <v>1174</v>
      </c>
      <c r="K75" s="16"/>
      <c r="L75" s="67" t="s">
        <v>913</v>
      </c>
      <c r="M75" s="13"/>
      <c r="N75" s="67" t="s">
        <v>1177</v>
      </c>
      <c r="O75" s="16" t="s">
        <v>1190</v>
      </c>
      <c r="P75" s="352"/>
      <c r="Q75" s="352"/>
      <c r="R75" s="353"/>
      <c r="S75" s="353"/>
      <c r="T75" s="355"/>
      <c r="U75" s="7">
        <v>2</v>
      </c>
      <c r="V75" s="7">
        <v>1</v>
      </c>
      <c r="W75" s="7">
        <v>1</v>
      </c>
      <c r="X75" s="10">
        <f t="shared" si="10"/>
        <v>3</v>
      </c>
      <c r="Y75" s="7">
        <v>2</v>
      </c>
      <c r="Z75" s="7">
        <v>3</v>
      </c>
      <c r="AA75" s="10">
        <f t="shared" si="11"/>
        <v>1</v>
      </c>
      <c r="AB75" s="11">
        <f t="shared" si="12"/>
        <v>3</v>
      </c>
      <c r="AC75" s="356"/>
      <c r="AD75" s="17"/>
      <c r="AE75" s="357"/>
      <c r="AF75" s="357"/>
      <c r="AG75" s="358"/>
      <c r="AH75" s="349"/>
      <c r="AI75" s="7"/>
      <c r="AJ75" s="10" t="str">
        <f t="shared" si="13"/>
        <v>CIRQUE</v>
      </c>
      <c r="AK75" s="299" t="str">
        <f t="shared" si="14"/>
        <v>All</v>
      </c>
    </row>
    <row r="76" spans="1:37">
      <c r="A76" s="332" t="str">
        <f>Supplement[[#This Row],[Company]] &amp; "-" &amp; Supplement[[#This Row],[Department]] &amp; "-" &amp; $AT$2 &amp; "-" &amp; TEXT(COUNTIF(INDEX(Supplement[Department],1):Supplement[[#This Row],[Department]],Supplement[[#This Row],[Department]]),"0000")</f>
        <v>CIRQUE-All-Suppliment etc-0071</v>
      </c>
      <c r="B76" s="348" t="s">
        <v>978</v>
      </c>
      <c r="C76" s="16" t="s">
        <v>1064</v>
      </c>
      <c r="D76" s="350" t="s">
        <v>887</v>
      </c>
      <c r="E76" s="350" t="s">
        <v>890</v>
      </c>
      <c r="F76" s="349" t="s">
        <v>1139</v>
      </c>
      <c r="G76" s="14" t="s">
        <v>899</v>
      </c>
      <c r="H76" s="342"/>
      <c r="I76" s="351" t="s">
        <v>1169</v>
      </c>
      <c r="J76" s="351" t="s">
        <v>1174</v>
      </c>
      <c r="K76" s="16"/>
      <c r="L76" s="67" t="s">
        <v>913</v>
      </c>
      <c r="M76" s="13"/>
      <c r="N76" s="67" t="s">
        <v>1177</v>
      </c>
      <c r="O76" s="16" t="s">
        <v>1190</v>
      </c>
      <c r="P76" s="352"/>
      <c r="Q76" s="352"/>
      <c r="R76" s="353"/>
      <c r="S76" s="353"/>
      <c r="T76" s="355"/>
      <c r="U76" s="7">
        <v>2</v>
      </c>
      <c r="V76" s="7">
        <v>1</v>
      </c>
      <c r="W76" s="7">
        <v>1</v>
      </c>
      <c r="X76" s="10">
        <f t="shared" si="10"/>
        <v>3</v>
      </c>
      <c r="Y76" s="7">
        <v>2</v>
      </c>
      <c r="Z76" s="7">
        <v>3</v>
      </c>
      <c r="AA76" s="10">
        <f t="shared" si="11"/>
        <v>1</v>
      </c>
      <c r="AB76" s="11">
        <f t="shared" si="12"/>
        <v>3</v>
      </c>
      <c r="AC76" s="356"/>
      <c r="AD76" s="17"/>
      <c r="AE76" s="357"/>
      <c r="AF76" s="357"/>
      <c r="AG76" s="358"/>
      <c r="AH76" s="349"/>
      <c r="AI76" s="7"/>
      <c r="AJ76" s="10" t="str">
        <f t="shared" si="13"/>
        <v>CIRQUE</v>
      </c>
      <c r="AK76" s="299" t="str">
        <f t="shared" si="14"/>
        <v>All</v>
      </c>
    </row>
    <row r="77" spans="1:37">
      <c r="A77" s="332" t="str">
        <f>Supplement[[#This Row],[Company]] &amp; "-" &amp; Supplement[[#This Row],[Department]] &amp; "-" &amp; $AT$2 &amp; "-" &amp; TEXT(COUNTIF(INDEX(Supplement[Department],1):Supplement[[#This Row],[Department]],Supplement[[#This Row],[Department]]),"0000")</f>
        <v>CIRQUE-All-Suppliment etc-0072</v>
      </c>
      <c r="B77" s="348">
        <v>0</v>
      </c>
      <c r="C77" s="16" t="s">
        <v>1065</v>
      </c>
      <c r="D77" s="350" t="s">
        <v>887</v>
      </c>
      <c r="E77" s="350" t="s">
        <v>890</v>
      </c>
      <c r="F77" s="349" t="s">
        <v>1140</v>
      </c>
      <c r="G77" s="14" t="s">
        <v>899</v>
      </c>
      <c r="H77" s="342"/>
      <c r="I77" s="351" t="s">
        <v>1169</v>
      </c>
      <c r="J77" s="351" t="s">
        <v>1174</v>
      </c>
      <c r="K77" s="16"/>
      <c r="L77" s="67" t="s">
        <v>913</v>
      </c>
      <c r="M77" s="13"/>
      <c r="N77" s="67" t="s">
        <v>1177</v>
      </c>
      <c r="O77" s="16" t="s">
        <v>1185</v>
      </c>
      <c r="P77" s="352"/>
      <c r="Q77" s="352"/>
      <c r="R77" s="353"/>
      <c r="S77" s="353"/>
      <c r="T77" s="355"/>
      <c r="U77" s="7">
        <v>2</v>
      </c>
      <c r="V77" s="7">
        <v>1</v>
      </c>
      <c r="W77" s="7">
        <v>1</v>
      </c>
      <c r="X77" s="10">
        <f t="shared" si="10"/>
        <v>3</v>
      </c>
      <c r="Y77" s="7">
        <v>2</v>
      </c>
      <c r="Z77" s="7">
        <v>3</v>
      </c>
      <c r="AA77" s="10">
        <f t="shared" si="11"/>
        <v>1</v>
      </c>
      <c r="AB77" s="11">
        <f t="shared" si="12"/>
        <v>3</v>
      </c>
      <c r="AC77" s="356"/>
      <c r="AD77" s="17"/>
      <c r="AE77" s="357"/>
      <c r="AF77" s="357"/>
      <c r="AG77" s="358"/>
      <c r="AH77" s="349"/>
      <c r="AI77" s="7"/>
      <c r="AJ77" s="10" t="str">
        <f t="shared" si="13"/>
        <v>CIRQUE</v>
      </c>
      <c r="AK77" s="299" t="str">
        <f t="shared" si="14"/>
        <v>All</v>
      </c>
    </row>
    <row r="78" spans="1:37">
      <c r="A78" s="332" t="str">
        <f>Supplement[[#This Row],[Company]] &amp; "-" &amp; Supplement[[#This Row],[Department]] &amp; "-" &amp; $AT$2 &amp; "-" &amp; TEXT(COUNTIF(INDEX(Supplement[Department],1):Supplement[[#This Row],[Department]],Supplement[[#This Row],[Department]]),"0000")</f>
        <v>CIRQUE-All-Suppliment etc-0073</v>
      </c>
      <c r="B78" s="348">
        <v>0</v>
      </c>
      <c r="C78" s="16" t="s">
        <v>1066</v>
      </c>
      <c r="D78" s="350" t="s">
        <v>887</v>
      </c>
      <c r="E78" s="350" t="s">
        <v>890</v>
      </c>
      <c r="F78" s="349" t="s">
        <v>1140</v>
      </c>
      <c r="G78" s="14" t="s">
        <v>899</v>
      </c>
      <c r="H78" s="342"/>
      <c r="I78" s="351" t="s">
        <v>1169</v>
      </c>
      <c r="J78" s="351" t="s">
        <v>1174</v>
      </c>
      <c r="K78" s="16"/>
      <c r="L78" s="67" t="s">
        <v>913</v>
      </c>
      <c r="M78" s="13"/>
      <c r="N78" s="67" t="s">
        <v>1177</v>
      </c>
      <c r="O78" s="16" t="s">
        <v>1185</v>
      </c>
      <c r="P78" s="352"/>
      <c r="Q78" s="352"/>
      <c r="R78" s="353"/>
      <c r="S78" s="353"/>
      <c r="T78" s="355"/>
      <c r="U78" s="7">
        <v>2</v>
      </c>
      <c r="V78" s="7">
        <v>1</v>
      </c>
      <c r="W78" s="7">
        <v>1</v>
      </c>
      <c r="X78" s="10">
        <f t="shared" si="10"/>
        <v>3</v>
      </c>
      <c r="Y78" s="7">
        <v>2</v>
      </c>
      <c r="Z78" s="7">
        <v>3</v>
      </c>
      <c r="AA78" s="10">
        <f t="shared" si="11"/>
        <v>1</v>
      </c>
      <c r="AB78" s="11">
        <f t="shared" si="12"/>
        <v>3</v>
      </c>
      <c r="AC78" s="356"/>
      <c r="AD78" s="17"/>
      <c r="AE78" s="357"/>
      <c r="AF78" s="357"/>
      <c r="AG78" s="358"/>
      <c r="AH78" s="349"/>
      <c r="AI78" s="7"/>
      <c r="AJ78" s="10" t="str">
        <f t="shared" si="13"/>
        <v>CIRQUE</v>
      </c>
      <c r="AK78" s="299" t="str">
        <f t="shared" si="14"/>
        <v>All</v>
      </c>
    </row>
    <row r="79" spans="1:37">
      <c r="A79" s="332" t="str">
        <f>Supplement[[#This Row],[Company]] &amp; "-" &amp; Supplement[[#This Row],[Department]] &amp; "-" &amp; $AT$2 &amp; "-" &amp; TEXT(COUNTIF(INDEX(Supplement[Department],1):Supplement[[#This Row],[Department]],Supplement[[#This Row],[Department]]),"0000")</f>
        <v>CIRQUE-All-Suppliment etc-0074</v>
      </c>
      <c r="B79" s="348" t="s">
        <v>979</v>
      </c>
      <c r="C79" s="16" t="s">
        <v>1067</v>
      </c>
      <c r="D79" s="350" t="s">
        <v>887</v>
      </c>
      <c r="E79" s="350" t="s">
        <v>890</v>
      </c>
      <c r="F79" s="349" t="s">
        <v>1141</v>
      </c>
      <c r="G79" s="14" t="s">
        <v>899</v>
      </c>
      <c r="H79" s="342"/>
      <c r="I79" s="351" t="s">
        <v>1169</v>
      </c>
      <c r="J79" s="351" t="s">
        <v>1174</v>
      </c>
      <c r="K79" s="16"/>
      <c r="L79" s="67" t="s">
        <v>913</v>
      </c>
      <c r="M79" s="13"/>
      <c r="N79" s="67" t="s">
        <v>1177</v>
      </c>
      <c r="O79" s="16" t="s">
        <v>1185</v>
      </c>
      <c r="P79" s="352"/>
      <c r="Q79" s="352"/>
      <c r="R79" s="353"/>
      <c r="S79" s="353"/>
      <c r="T79" s="355"/>
      <c r="U79" s="7">
        <v>2</v>
      </c>
      <c r="V79" s="7">
        <v>1</v>
      </c>
      <c r="W79" s="7">
        <v>1</v>
      </c>
      <c r="X79" s="10">
        <f t="shared" si="10"/>
        <v>3</v>
      </c>
      <c r="Y79" s="7">
        <v>2</v>
      </c>
      <c r="Z79" s="7">
        <v>3</v>
      </c>
      <c r="AA79" s="10">
        <f t="shared" si="11"/>
        <v>1</v>
      </c>
      <c r="AB79" s="11">
        <f t="shared" si="12"/>
        <v>3</v>
      </c>
      <c r="AC79" s="356"/>
      <c r="AD79" s="17"/>
      <c r="AE79" s="357"/>
      <c r="AF79" s="357"/>
      <c r="AG79" s="358"/>
      <c r="AH79" s="349"/>
      <c r="AI79" s="7"/>
      <c r="AJ79" s="10" t="str">
        <f t="shared" si="13"/>
        <v>CIRQUE</v>
      </c>
      <c r="AK79" s="299" t="str">
        <f t="shared" si="14"/>
        <v>All</v>
      </c>
    </row>
    <row r="80" spans="1:37">
      <c r="A80" s="332" t="str">
        <f>Supplement[[#This Row],[Company]] &amp; "-" &amp; Supplement[[#This Row],[Department]] &amp; "-" &amp; $AT$2 &amp; "-" &amp; TEXT(COUNTIF(INDEX(Supplement[Department],1):Supplement[[#This Row],[Department]],Supplement[[#This Row],[Department]]),"0000")</f>
        <v>CIRQUE-All-Suppliment etc-0075</v>
      </c>
      <c r="B80" s="348" t="s">
        <v>980</v>
      </c>
      <c r="C80" s="16" t="s">
        <v>1068</v>
      </c>
      <c r="D80" s="350" t="s">
        <v>887</v>
      </c>
      <c r="E80" s="350" t="s">
        <v>890</v>
      </c>
      <c r="F80" s="349" t="s">
        <v>1142</v>
      </c>
      <c r="G80" s="14" t="s">
        <v>899</v>
      </c>
      <c r="H80" s="342"/>
      <c r="I80" s="351" t="s">
        <v>1169</v>
      </c>
      <c r="J80" s="351" t="s">
        <v>1174</v>
      </c>
      <c r="K80" s="16"/>
      <c r="L80" s="67" t="s">
        <v>913</v>
      </c>
      <c r="M80" s="13"/>
      <c r="N80" s="67" t="s">
        <v>1177</v>
      </c>
      <c r="O80" s="16" t="s">
        <v>1185</v>
      </c>
      <c r="P80" s="352"/>
      <c r="Q80" s="352"/>
      <c r="R80" s="353"/>
      <c r="S80" s="353"/>
      <c r="T80" s="355"/>
      <c r="U80" s="7">
        <v>2</v>
      </c>
      <c r="V80" s="7">
        <v>1</v>
      </c>
      <c r="W80" s="7">
        <v>1</v>
      </c>
      <c r="X80" s="10">
        <f t="shared" si="10"/>
        <v>3</v>
      </c>
      <c r="Y80" s="7">
        <v>2</v>
      </c>
      <c r="Z80" s="7">
        <v>3</v>
      </c>
      <c r="AA80" s="10">
        <f t="shared" si="11"/>
        <v>1</v>
      </c>
      <c r="AB80" s="11">
        <f t="shared" si="12"/>
        <v>3</v>
      </c>
      <c r="AC80" s="356"/>
      <c r="AD80" s="17"/>
      <c r="AE80" s="357"/>
      <c r="AF80" s="357"/>
      <c r="AG80" s="358"/>
      <c r="AH80" s="349"/>
      <c r="AI80" s="7"/>
      <c r="AJ80" s="10" t="str">
        <f t="shared" si="13"/>
        <v>CIRQUE</v>
      </c>
      <c r="AK80" s="299" t="str">
        <f t="shared" si="14"/>
        <v>All</v>
      </c>
    </row>
    <row r="81" spans="1:37">
      <c r="A81" s="332" t="str">
        <f>Supplement[[#This Row],[Company]] &amp; "-" &amp; Supplement[[#This Row],[Department]] &amp; "-" &amp; $AT$2 &amp; "-" &amp; TEXT(COUNTIF(INDEX(Supplement[Department],1):Supplement[[#This Row],[Department]],Supplement[[#This Row],[Department]]),"0000")</f>
        <v>CIRQUE-All-Suppliment etc-0076</v>
      </c>
      <c r="B81" s="348" t="s">
        <v>981</v>
      </c>
      <c r="C81" s="16" t="s">
        <v>1069</v>
      </c>
      <c r="D81" s="350" t="s">
        <v>887</v>
      </c>
      <c r="E81" s="350" t="s">
        <v>890</v>
      </c>
      <c r="F81" s="349" t="s">
        <v>1143</v>
      </c>
      <c r="G81" s="14" t="s">
        <v>899</v>
      </c>
      <c r="H81" s="342"/>
      <c r="I81" s="351" t="s">
        <v>1169</v>
      </c>
      <c r="J81" s="351" t="s">
        <v>1174</v>
      </c>
      <c r="K81" s="16"/>
      <c r="L81" s="67" t="s">
        <v>913</v>
      </c>
      <c r="M81" s="13"/>
      <c r="N81" s="67" t="s">
        <v>1177</v>
      </c>
      <c r="O81" s="16" t="s">
        <v>1185</v>
      </c>
      <c r="P81" s="352"/>
      <c r="Q81" s="352"/>
      <c r="R81" s="353"/>
      <c r="S81" s="353"/>
      <c r="T81" s="355"/>
      <c r="U81" s="7">
        <v>2</v>
      </c>
      <c r="V81" s="7">
        <v>1</v>
      </c>
      <c r="W81" s="7">
        <v>1</v>
      </c>
      <c r="X81" s="10">
        <f t="shared" si="10"/>
        <v>3</v>
      </c>
      <c r="Y81" s="7">
        <v>2</v>
      </c>
      <c r="Z81" s="7">
        <v>3</v>
      </c>
      <c r="AA81" s="10">
        <f t="shared" si="11"/>
        <v>1</v>
      </c>
      <c r="AB81" s="11">
        <f t="shared" si="12"/>
        <v>3</v>
      </c>
      <c r="AC81" s="356"/>
      <c r="AD81" s="17"/>
      <c r="AE81" s="357"/>
      <c r="AF81" s="357"/>
      <c r="AG81" s="358"/>
      <c r="AH81" s="349"/>
      <c r="AI81" s="7"/>
      <c r="AJ81" s="10" t="str">
        <f t="shared" si="13"/>
        <v>CIRQUE</v>
      </c>
      <c r="AK81" s="299" t="str">
        <f t="shared" si="14"/>
        <v>All</v>
      </c>
    </row>
    <row r="82" spans="1:37">
      <c r="A82" s="332" t="str">
        <f>Supplement[[#This Row],[Company]] &amp; "-" &amp; Supplement[[#This Row],[Department]] &amp; "-" &amp; $AT$2 &amp; "-" &amp; TEXT(COUNTIF(INDEX(Supplement[Department],1):Supplement[[#This Row],[Department]],Supplement[[#This Row],[Department]]),"0000")</f>
        <v>CIRQUE-All-Suppliment etc-0077</v>
      </c>
      <c r="B82" s="348" t="s">
        <v>982</v>
      </c>
      <c r="C82" s="16" t="s">
        <v>1070</v>
      </c>
      <c r="D82" s="350" t="s">
        <v>887</v>
      </c>
      <c r="E82" s="350" t="s">
        <v>890</v>
      </c>
      <c r="F82" s="349" t="s">
        <v>1144</v>
      </c>
      <c r="G82" s="14" t="s">
        <v>899</v>
      </c>
      <c r="H82" s="342"/>
      <c r="I82" s="351" t="s">
        <v>1169</v>
      </c>
      <c r="J82" s="351" t="s">
        <v>1174</v>
      </c>
      <c r="K82" s="16"/>
      <c r="L82" s="67" t="s">
        <v>913</v>
      </c>
      <c r="M82" s="13"/>
      <c r="N82" s="67" t="s">
        <v>1177</v>
      </c>
      <c r="O82" s="16" t="s">
        <v>1185</v>
      </c>
      <c r="P82" s="352"/>
      <c r="Q82" s="352"/>
      <c r="R82" s="353"/>
      <c r="S82" s="353"/>
      <c r="T82" s="355"/>
      <c r="U82" s="7">
        <v>2</v>
      </c>
      <c r="V82" s="7">
        <v>1</v>
      </c>
      <c r="W82" s="7">
        <v>1</v>
      </c>
      <c r="X82" s="10">
        <f t="shared" si="10"/>
        <v>3</v>
      </c>
      <c r="Y82" s="7">
        <v>2</v>
      </c>
      <c r="Z82" s="7">
        <v>3</v>
      </c>
      <c r="AA82" s="10">
        <f t="shared" si="11"/>
        <v>1</v>
      </c>
      <c r="AB82" s="11">
        <f t="shared" si="12"/>
        <v>3</v>
      </c>
      <c r="AC82" s="356"/>
      <c r="AD82" s="17"/>
      <c r="AE82" s="357"/>
      <c r="AF82" s="357"/>
      <c r="AG82" s="358"/>
      <c r="AH82" s="349"/>
      <c r="AI82" s="7"/>
      <c r="AJ82" s="10" t="str">
        <f t="shared" si="13"/>
        <v>CIRQUE</v>
      </c>
      <c r="AK82" s="299" t="str">
        <f t="shared" si="14"/>
        <v>All</v>
      </c>
    </row>
    <row r="83" spans="1:37">
      <c r="A83" s="332" t="str">
        <f>Supplement[[#This Row],[Company]] &amp; "-" &amp; Supplement[[#This Row],[Department]] &amp; "-" &amp; $AT$2 &amp; "-" &amp; TEXT(COUNTIF(INDEX(Supplement[Department],1):Supplement[[#This Row],[Department]],Supplement[[#This Row],[Department]]),"0000")</f>
        <v>CIRQUE-All-Suppliment etc-0078</v>
      </c>
      <c r="B83" s="348" t="s">
        <v>983</v>
      </c>
      <c r="C83" s="16" t="s">
        <v>1071</v>
      </c>
      <c r="D83" s="350" t="s">
        <v>887</v>
      </c>
      <c r="E83" s="350" t="s">
        <v>890</v>
      </c>
      <c r="F83" s="349" t="s">
        <v>1145</v>
      </c>
      <c r="G83" s="14" t="s">
        <v>899</v>
      </c>
      <c r="H83" s="342"/>
      <c r="I83" s="351" t="s">
        <v>1169</v>
      </c>
      <c r="J83" s="351" t="s">
        <v>1174</v>
      </c>
      <c r="K83" s="16"/>
      <c r="L83" s="67" t="s">
        <v>913</v>
      </c>
      <c r="M83" s="13"/>
      <c r="N83" s="67" t="s">
        <v>1177</v>
      </c>
      <c r="O83" s="16" t="s">
        <v>1185</v>
      </c>
      <c r="P83" s="352"/>
      <c r="Q83" s="352"/>
      <c r="R83" s="353"/>
      <c r="S83" s="353"/>
      <c r="T83" s="355"/>
      <c r="U83" s="7">
        <v>2</v>
      </c>
      <c r="V83" s="7">
        <v>1</v>
      </c>
      <c r="W83" s="7">
        <v>1</v>
      </c>
      <c r="X83" s="10">
        <f t="shared" si="10"/>
        <v>3</v>
      </c>
      <c r="Y83" s="7">
        <v>2</v>
      </c>
      <c r="Z83" s="7">
        <v>3</v>
      </c>
      <c r="AA83" s="10">
        <f t="shared" si="11"/>
        <v>1</v>
      </c>
      <c r="AB83" s="11">
        <f t="shared" si="12"/>
        <v>3</v>
      </c>
      <c r="AC83" s="356"/>
      <c r="AD83" s="17"/>
      <c r="AE83" s="357"/>
      <c r="AF83" s="357"/>
      <c r="AG83" s="358"/>
      <c r="AH83" s="349"/>
      <c r="AI83" s="7"/>
      <c r="AJ83" s="10" t="str">
        <f t="shared" si="13"/>
        <v>CIRQUE</v>
      </c>
      <c r="AK83" s="299" t="str">
        <f t="shared" si="14"/>
        <v>All</v>
      </c>
    </row>
    <row r="84" spans="1:37">
      <c r="A84" s="332" t="str">
        <f>Supplement[[#This Row],[Company]] &amp; "-" &amp; Supplement[[#This Row],[Department]] &amp; "-" &amp; $AT$2 &amp; "-" &amp; TEXT(COUNTIF(INDEX(Supplement[Department],1):Supplement[[#This Row],[Department]],Supplement[[#This Row],[Department]]),"0000")</f>
        <v>CIRQUE-All-Suppliment etc-0079</v>
      </c>
      <c r="B84" s="348" t="s">
        <v>984</v>
      </c>
      <c r="C84" s="16" t="s">
        <v>1072</v>
      </c>
      <c r="D84" s="350" t="s">
        <v>887</v>
      </c>
      <c r="E84" s="350" t="s">
        <v>890</v>
      </c>
      <c r="F84" s="349" t="s">
        <v>1146</v>
      </c>
      <c r="G84" s="14" t="s">
        <v>899</v>
      </c>
      <c r="H84" s="342"/>
      <c r="I84" s="351" t="s">
        <v>1169</v>
      </c>
      <c r="J84" s="351" t="s">
        <v>1174</v>
      </c>
      <c r="K84" s="16"/>
      <c r="L84" s="67" t="s">
        <v>913</v>
      </c>
      <c r="M84" s="13"/>
      <c r="N84" s="67" t="s">
        <v>1177</v>
      </c>
      <c r="O84" s="16" t="s">
        <v>1185</v>
      </c>
      <c r="P84" s="352"/>
      <c r="Q84" s="352"/>
      <c r="R84" s="353"/>
      <c r="S84" s="353"/>
      <c r="T84" s="355"/>
      <c r="U84" s="7">
        <v>2</v>
      </c>
      <c r="V84" s="7">
        <v>1</v>
      </c>
      <c r="W84" s="7">
        <v>1</v>
      </c>
      <c r="X84" s="10">
        <f t="shared" si="10"/>
        <v>3</v>
      </c>
      <c r="Y84" s="7">
        <v>2</v>
      </c>
      <c r="Z84" s="7">
        <v>3</v>
      </c>
      <c r="AA84" s="10">
        <f t="shared" si="11"/>
        <v>1</v>
      </c>
      <c r="AB84" s="11">
        <f t="shared" si="12"/>
        <v>3</v>
      </c>
      <c r="AC84" s="356"/>
      <c r="AD84" s="17"/>
      <c r="AE84" s="357"/>
      <c r="AF84" s="357"/>
      <c r="AG84" s="358"/>
      <c r="AH84" s="349"/>
      <c r="AI84" s="7"/>
      <c r="AJ84" s="10" t="str">
        <f t="shared" si="13"/>
        <v>CIRQUE</v>
      </c>
      <c r="AK84" s="299" t="str">
        <f t="shared" si="14"/>
        <v>All</v>
      </c>
    </row>
    <row r="85" spans="1:37">
      <c r="A85" s="332" t="str">
        <f>Supplement[[#This Row],[Company]] &amp; "-" &amp; Supplement[[#This Row],[Department]] &amp; "-" &amp; $AT$2 &amp; "-" &amp; TEXT(COUNTIF(INDEX(Supplement[Department],1):Supplement[[#This Row],[Department]],Supplement[[#This Row],[Department]]),"0000")</f>
        <v>CIRQUE-All-Suppliment etc-0080</v>
      </c>
      <c r="B85" s="348">
        <v>0</v>
      </c>
      <c r="C85" s="16" t="s">
        <v>1073</v>
      </c>
      <c r="D85" s="350" t="s">
        <v>887</v>
      </c>
      <c r="E85" s="350" t="s">
        <v>890</v>
      </c>
      <c r="F85" s="349" t="s">
        <v>1147</v>
      </c>
      <c r="G85" s="14" t="s">
        <v>899</v>
      </c>
      <c r="H85" s="342"/>
      <c r="I85" s="351" t="s">
        <v>1169</v>
      </c>
      <c r="J85" s="351" t="s">
        <v>1174</v>
      </c>
      <c r="K85" s="16"/>
      <c r="L85" s="67" t="s">
        <v>913</v>
      </c>
      <c r="M85" s="13"/>
      <c r="N85" s="67" t="s">
        <v>1177</v>
      </c>
      <c r="O85" s="16" t="s">
        <v>1191</v>
      </c>
      <c r="P85" s="352"/>
      <c r="Q85" s="352"/>
      <c r="R85" s="353"/>
      <c r="S85" s="353"/>
      <c r="T85" s="355"/>
      <c r="U85" s="7">
        <v>2</v>
      </c>
      <c r="V85" s="7">
        <v>1</v>
      </c>
      <c r="W85" s="7">
        <v>1</v>
      </c>
      <c r="X85" s="10">
        <f t="shared" si="10"/>
        <v>3</v>
      </c>
      <c r="Y85" s="7">
        <v>2</v>
      </c>
      <c r="Z85" s="7">
        <v>3</v>
      </c>
      <c r="AA85" s="10">
        <f t="shared" si="11"/>
        <v>1</v>
      </c>
      <c r="AB85" s="11">
        <f t="shared" si="12"/>
        <v>3</v>
      </c>
      <c r="AC85" s="356"/>
      <c r="AD85" s="17"/>
      <c r="AE85" s="357"/>
      <c r="AF85" s="357"/>
      <c r="AG85" s="358"/>
      <c r="AH85" s="349"/>
      <c r="AI85" s="7"/>
      <c r="AJ85" s="10" t="str">
        <f t="shared" si="13"/>
        <v>CIRQUE</v>
      </c>
      <c r="AK85" s="299" t="str">
        <f t="shared" si="14"/>
        <v>All</v>
      </c>
    </row>
    <row r="86" spans="1:37">
      <c r="A86" s="332" t="str">
        <f>Supplement[[#This Row],[Company]] &amp; "-" &amp; Supplement[[#This Row],[Department]] &amp; "-" &amp; $AT$2 &amp; "-" &amp; TEXT(COUNTIF(INDEX(Supplement[Department],1):Supplement[[#This Row],[Department]],Supplement[[#This Row],[Department]]),"0000")</f>
        <v>CIRQUE-All-Suppliment etc-0081</v>
      </c>
      <c r="B86" s="348">
        <v>0</v>
      </c>
      <c r="C86" s="16" t="s">
        <v>1074</v>
      </c>
      <c r="D86" s="350" t="s">
        <v>887</v>
      </c>
      <c r="E86" s="350" t="s">
        <v>890</v>
      </c>
      <c r="F86" s="349" t="s">
        <v>1148</v>
      </c>
      <c r="G86" s="14" t="s">
        <v>899</v>
      </c>
      <c r="H86" s="342"/>
      <c r="I86" s="351" t="s">
        <v>1169</v>
      </c>
      <c r="J86" s="351" t="s">
        <v>1174</v>
      </c>
      <c r="K86" s="16"/>
      <c r="L86" s="67" t="s">
        <v>913</v>
      </c>
      <c r="M86" s="13"/>
      <c r="N86" s="67" t="s">
        <v>1177</v>
      </c>
      <c r="O86" s="16" t="s">
        <v>1191</v>
      </c>
      <c r="P86" s="352"/>
      <c r="Q86" s="352"/>
      <c r="R86" s="353"/>
      <c r="S86" s="353"/>
      <c r="T86" s="355"/>
      <c r="U86" s="7">
        <v>2</v>
      </c>
      <c r="V86" s="7">
        <v>1</v>
      </c>
      <c r="W86" s="7">
        <v>1</v>
      </c>
      <c r="X86" s="10">
        <f t="shared" si="10"/>
        <v>3</v>
      </c>
      <c r="Y86" s="7">
        <v>2</v>
      </c>
      <c r="Z86" s="7">
        <v>3</v>
      </c>
      <c r="AA86" s="10">
        <f t="shared" si="11"/>
        <v>1</v>
      </c>
      <c r="AB86" s="11">
        <f t="shared" si="12"/>
        <v>3</v>
      </c>
      <c r="AC86" s="356"/>
      <c r="AD86" s="17"/>
      <c r="AE86" s="357"/>
      <c r="AF86" s="357"/>
      <c r="AG86" s="358"/>
      <c r="AH86" s="349"/>
      <c r="AI86" s="7"/>
      <c r="AJ86" s="10" t="str">
        <f t="shared" si="13"/>
        <v>CIRQUE</v>
      </c>
      <c r="AK86" s="299" t="str">
        <f t="shared" si="14"/>
        <v>All</v>
      </c>
    </row>
    <row r="87" spans="1:37">
      <c r="A87" s="332" t="str">
        <f>Supplement[[#This Row],[Company]] &amp; "-" &amp; Supplement[[#This Row],[Department]] &amp; "-" &amp; $AT$2 &amp; "-" &amp; TEXT(COUNTIF(INDEX(Supplement[Department],1):Supplement[[#This Row],[Department]],Supplement[[#This Row],[Department]]),"0000")</f>
        <v>CIRQUE-All-Suppliment etc-0082</v>
      </c>
      <c r="B87" s="348" t="s">
        <v>985</v>
      </c>
      <c r="C87" s="16" t="s">
        <v>1075</v>
      </c>
      <c r="D87" s="350" t="s">
        <v>887</v>
      </c>
      <c r="E87" s="350" t="s">
        <v>890</v>
      </c>
      <c r="F87" s="349" t="s">
        <v>1149</v>
      </c>
      <c r="G87" s="14" t="s">
        <v>899</v>
      </c>
      <c r="H87" s="342"/>
      <c r="I87" s="351" t="s">
        <v>1169</v>
      </c>
      <c r="J87" s="351" t="s">
        <v>1174</v>
      </c>
      <c r="K87" s="16"/>
      <c r="L87" s="67" t="s">
        <v>913</v>
      </c>
      <c r="M87" s="13"/>
      <c r="N87" s="67" t="s">
        <v>1177</v>
      </c>
      <c r="O87" s="16" t="s">
        <v>1185</v>
      </c>
      <c r="P87" s="352"/>
      <c r="Q87" s="352"/>
      <c r="R87" s="353"/>
      <c r="S87" s="353"/>
      <c r="T87" s="355"/>
      <c r="U87" s="7">
        <v>2</v>
      </c>
      <c r="V87" s="7">
        <v>1</v>
      </c>
      <c r="W87" s="7">
        <v>1</v>
      </c>
      <c r="X87" s="10">
        <f t="shared" si="10"/>
        <v>3</v>
      </c>
      <c r="Y87" s="7">
        <v>2</v>
      </c>
      <c r="Z87" s="7">
        <v>3</v>
      </c>
      <c r="AA87" s="10">
        <f t="shared" si="11"/>
        <v>1</v>
      </c>
      <c r="AB87" s="11">
        <f t="shared" si="12"/>
        <v>3</v>
      </c>
      <c r="AC87" s="356"/>
      <c r="AD87" s="17"/>
      <c r="AE87" s="357"/>
      <c r="AF87" s="357"/>
      <c r="AG87" s="358"/>
      <c r="AH87" s="349"/>
      <c r="AI87" s="7"/>
      <c r="AJ87" s="10" t="str">
        <f t="shared" si="13"/>
        <v>CIRQUE</v>
      </c>
      <c r="AK87" s="299" t="str">
        <f t="shared" si="14"/>
        <v>All</v>
      </c>
    </row>
    <row r="88" spans="1:37">
      <c r="A88" s="332" t="str">
        <f>Supplement[[#This Row],[Company]] &amp; "-" &amp; Supplement[[#This Row],[Department]] &amp; "-" &amp; $AT$2 &amp; "-" &amp; TEXT(COUNTIF(INDEX(Supplement[Department],1):Supplement[[#This Row],[Department]],Supplement[[#This Row],[Department]]),"0000")</f>
        <v>CIRQUE-All-Suppliment etc-0083</v>
      </c>
      <c r="B88" s="348" t="s">
        <v>986</v>
      </c>
      <c r="C88" s="16" t="s">
        <v>1076</v>
      </c>
      <c r="D88" s="350" t="s">
        <v>887</v>
      </c>
      <c r="E88" s="350" t="s">
        <v>890</v>
      </c>
      <c r="F88" s="349" t="s">
        <v>1150</v>
      </c>
      <c r="G88" s="14" t="s">
        <v>899</v>
      </c>
      <c r="H88" s="342"/>
      <c r="I88" s="351" t="s">
        <v>1169</v>
      </c>
      <c r="J88" s="351" t="s">
        <v>1174</v>
      </c>
      <c r="K88" s="16"/>
      <c r="L88" s="67" t="s">
        <v>913</v>
      </c>
      <c r="M88" s="13"/>
      <c r="N88" s="67" t="s">
        <v>1177</v>
      </c>
      <c r="O88" s="16" t="s">
        <v>1185</v>
      </c>
      <c r="P88" s="352"/>
      <c r="Q88" s="352"/>
      <c r="R88" s="353"/>
      <c r="S88" s="353"/>
      <c r="T88" s="355"/>
      <c r="U88" s="7">
        <v>2</v>
      </c>
      <c r="V88" s="7">
        <v>1</v>
      </c>
      <c r="W88" s="7">
        <v>1</v>
      </c>
      <c r="X88" s="10">
        <f t="shared" si="10"/>
        <v>3</v>
      </c>
      <c r="Y88" s="7">
        <v>2</v>
      </c>
      <c r="Z88" s="7">
        <v>3</v>
      </c>
      <c r="AA88" s="10">
        <f t="shared" si="11"/>
        <v>1</v>
      </c>
      <c r="AB88" s="11">
        <f t="shared" si="12"/>
        <v>3</v>
      </c>
      <c r="AC88" s="356"/>
      <c r="AD88" s="17"/>
      <c r="AE88" s="357"/>
      <c r="AF88" s="357"/>
      <c r="AG88" s="358"/>
      <c r="AH88" s="349"/>
      <c r="AI88" s="7"/>
      <c r="AJ88" s="10" t="str">
        <f t="shared" si="13"/>
        <v>CIRQUE</v>
      </c>
      <c r="AK88" s="299" t="str">
        <f t="shared" si="14"/>
        <v>All</v>
      </c>
    </row>
    <row r="89" spans="1:37">
      <c r="A89" s="332" t="str">
        <f>Supplement[[#This Row],[Company]] &amp; "-" &amp; Supplement[[#This Row],[Department]] &amp; "-" &amp; $AT$2 &amp; "-" &amp; TEXT(COUNTIF(INDEX(Supplement[Department],1):Supplement[[#This Row],[Department]],Supplement[[#This Row],[Department]]),"0000")</f>
        <v>CIRQUE-All-Suppliment etc-0084</v>
      </c>
      <c r="B89" s="348" t="s">
        <v>987</v>
      </c>
      <c r="C89" s="16" t="s">
        <v>1077</v>
      </c>
      <c r="D89" s="350" t="s">
        <v>887</v>
      </c>
      <c r="E89" s="350" t="s">
        <v>890</v>
      </c>
      <c r="F89" s="349" t="s">
        <v>1151</v>
      </c>
      <c r="G89" s="14" t="s">
        <v>899</v>
      </c>
      <c r="H89" s="342"/>
      <c r="I89" s="351" t="s">
        <v>1169</v>
      </c>
      <c r="J89" s="351" t="s">
        <v>1174</v>
      </c>
      <c r="K89" s="16"/>
      <c r="L89" s="67" t="s">
        <v>913</v>
      </c>
      <c r="M89" s="13"/>
      <c r="N89" s="67" t="s">
        <v>1177</v>
      </c>
      <c r="O89" s="16" t="s">
        <v>1185</v>
      </c>
      <c r="P89" s="352"/>
      <c r="Q89" s="352"/>
      <c r="R89" s="353"/>
      <c r="S89" s="353"/>
      <c r="T89" s="355"/>
      <c r="U89" s="7">
        <v>2</v>
      </c>
      <c r="V89" s="7">
        <v>1</v>
      </c>
      <c r="W89" s="7">
        <v>1</v>
      </c>
      <c r="X89" s="10">
        <f t="shared" si="10"/>
        <v>3</v>
      </c>
      <c r="Y89" s="7">
        <v>2</v>
      </c>
      <c r="Z89" s="7">
        <v>3</v>
      </c>
      <c r="AA89" s="10">
        <f t="shared" si="11"/>
        <v>1</v>
      </c>
      <c r="AB89" s="11">
        <f t="shared" si="12"/>
        <v>3</v>
      </c>
      <c r="AC89" s="356"/>
      <c r="AD89" s="17"/>
      <c r="AE89" s="357"/>
      <c r="AF89" s="357"/>
      <c r="AG89" s="358"/>
      <c r="AH89" s="349"/>
      <c r="AI89" s="7"/>
      <c r="AJ89" s="10" t="str">
        <f t="shared" si="13"/>
        <v>CIRQUE</v>
      </c>
      <c r="AK89" s="299" t="str">
        <f t="shared" si="14"/>
        <v>All</v>
      </c>
    </row>
    <row r="90" spans="1:37">
      <c r="A90" s="332" t="str">
        <f>Supplement[[#This Row],[Company]] &amp; "-" &amp; Supplement[[#This Row],[Department]] &amp; "-" &amp; $AT$2 &amp; "-" &amp; TEXT(COUNTIF(INDEX(Supplement[Department],1):Supplement[[#This Row],[Department]],Supplement[[#This Row],[Department]]),"0000")</f>
        <v>CIRQUE-All-Suppliment etc-0085</v>
      </c>
      <c r="B90" s="348" t="s">
        <v>988</v>
      </c>
      <c r="C90" s="16" t="s">
        <v>1078</v>
      </c>
      <c r="D90" s="350" t="s">
        <v>887</v>
      </c>
      <c r="E90" s="350" t="s">
        <v>890</v>
      </c>
      <c r="F90" s="349" t="s">
        <v>1152</v>
      </c>
      <c r="G90" s="14" t="s">
        <v>899</v>
      </c>
      <c r="H90" s="342"/>
      <c r="I90" s="351" t="s">
        <v>1169</v>
      </c>
      <c r="J90" s="351" t="s">
        <v>1174</v>
      </c>
      <c r="K90" s="16"/>
      <c r="L90" s="67" t="s">
        <v>913</v>
      </c>
      <c r="M90" s="13"/>
      <c r="N90" s="67" t="s">
        <v>1177</v>
      </c>
      <c r="O90" s="16" t="s">
        <v>1185</v>
      </c>
      <c r="P90" s="352"/>
      <c r="Q90" s="352"/>
      <c r="R90" s="353"/>
      <c r="S90" s="353"/>
      <c r="T90" s="355"/>
      <c r="U90" s="7">
        <v>2</v>
      </c>
      <c r="V90" s="7">
        <v>1</v>
      </c>
      <c r="W90" s="7">
        <v>1</v>
      </c>
      <c r="X90" s="10">
        <f t="shared" si="10"/>
        <v>3</v>
      </c>
      <c r="Y90" s="7">
        <v>2</v>
      </c>
      <c r="Z90" s="7">
        <v>3</v>
      </c>
      <c r="AA90" s="10">
        <f t="shared" si="11"/>
        <v>1</v>
      </c>
      <c r="AB90" s="11">
        <f t="shared" si="12"/>
        <v>3</v>
      </c>
      <c r="AC90" s="356"/>
      <c r="AD90" s="17"/>
      <c r="AE90" s="357"/>
      <c r="AF90" s="357"/>
      <c r="AG90" s="358"/>
      <c r="AH90" s="349"/>
      <c r="AI90" s="7"/>
      <c r="AJ90" s="10" t="str">
        <f t="shared" si="13"/>
        <v>CIRQUE</v>
      </c>
      <c r="AK90" s="299" t="str">
        <f t="shared" si="14"/>
        <v>All</v>
      </c>
    </row>
    <row r="91" spans="1:37">
      <c r="A91" s="332" t="str">
        <f>Supplement[[#This Row],[Company]] &amp; "-" &amp; Supplement[[#This Row],[Department]] &amp; "-" &amp; $AT$2 &amp; "-" &amp; TEXT(COUNTIF(INDEX(Supplement[Department],1):Supplement[[#This Row],[Department]],Supplement[[#This Row],[Department]]),"0000")</f>
        <v>CIRQUE-All-Suppliment etc-0086</v>
      </c>
      <c r="B91" s="348" t="s">
        <v>989</v>
      </c>
      <c r="C91" s="16" t="s">
        <v>1079</v>
      </c>
      <c r="D91" s="350" t="s">
        <v>887</v>
      </c>
      <c r="E91" s="350" t="s">
        <v>890</v>
      </c>
      <c r="F91" s="349" t="s">
        <v>1153</v>
      </c>
      <c r="G91" s="14" t="s">
        <v>899</v>
      </c>
      <c r="H91" s="342"/>
      <c r="I91" s="351" t="s">
        <v>1169</v>
      </c>
      <c r="J91" s="351" t="s">
        <v>1174</v>
      </c>
      <c r="K91" s="16"/>
      <c r="L91" s="67" t="s">
        <v>913</v>
      </c>
      <c r="M91" s="13"/>
      <c r="N91" s="67" t="s">
        <v>1177</v>
      </c>
      <c r="O91" s="16" t="s">
        <v>1185</v>
      </c>
      <c r="P91" s="352"/>
      <c r="Q91" s="352"/>
      <c r="R91" s="353"/>
      <c r="S91" s="353"/>
      <c r="T91" s="355"/>
      <c r="U91" s="7">
        <v>2</v>
      </c>
      <c r="V91" s="7">
        <v>1</v>
      </c>
      <c r="W91" s="7">
        <v>1</v>
      </c>
      <c r="X91" s="10">
        <f t="shared" si="10"/>
        <v>3</v>
      </c>
      <c r="Y91" s="7">
        <v>2</v>
      </c>
      <c r="Z91" s="7">
        <v>3</v>
      </c>
      <c r="AA91" s="10">
        <f t="shared" si="11"/>
        <v>1</v>
      </c>
      <c r="AB91" s="11">
        <f t="shared" si="12"/>
        <v>3</v>
      </c>
      <c r="AC91" s="356"/>
      <c r="AD91" s="17"/>
      <c r="AE91" s="357"/>
      <c r="AF91" s="357"/>
      <c r="AG91" s="358"/>
      <c r="AH91" s="349"/>
      <c r="AI91" s="7"/>
      <c r="AJ91" s="10" t="str">
        <f t="shared" si="13"/>
        <v>CIRQUE</v>
      </c>
      <c r="AK91" s="299" t="str">
        <f t="shared" si="14"/>
        <v>All</v>
      </c>
    </row>
    <row r="92" spans="1:37">
      <c r="A92" s="332" t="str">
        <f>Supplement[[#This Row],[Company]] &amp; "-" &amp; Supplement[[#This Row],[Department]] &amp; "-" &amp; $AT$2 &amp; "-" &amp; TEXT(COUNTIF(INDEX(Supplement[Department],1):Supplement[[#This Row],[Department]],Supplement[[#This Row],[Department]]),"0000")</f>
        <v>CIRQUE-All-Suppliment etc-0087</v>
      </c>
      <c r="B92" s="348">
        <v>0</v>
      </c>
      <c r="C92" s="16" t="s">
        <v>1080</v>
      </c>
      <c r="D92" s="350" t="s">
        <v>887</v>
      </c>
      <c r="E92" s="350" t="s">
        <v>890</v>
      </c>
      <c r="F92" s="349" t="s">
        <v>1154</v>
      </c>
      <c r="G92" s="14" t="s">
        <v>899</v>
      </c>
      <c r="H92" s="342"/>
      <c r="I92" s="351" t="s">
        <v>1169</v>
      </c>
      <c r="J92" s="351" t="s">
        <v>1174</v>
      </c>
      <c r="K92" s="16"/>
      <c r="L92" s="67" t="s">
        <v>913</v>
      </c>
      <c r="M92" s="13"/>
      <c r="N92" s="67" t="s">
        <v>1177</v>
      </c>
      <c r="O92" s="16" t="s">
        <v>1185</v>
      </c>
      <c r="P92" s="352"/>
      <c r="Q92" s="352"/>
      <c r="R92" s="353"/>
      <c r="S92" s="353"/>
      <c r="T92" s="355"/>
      <c r="U92" s="7">
        <v>2</v>
      </c>
      <c r="V92" s="7">
        <v>1</v>
      </c>
      <c r="W92" s="7">
        <v>1</v>
      </c>
      <c r="X92" s="10">
        <f t="shared" si="10"/>
        <v>3</v>
      </c>
      <c r="Y92" s="7">
        <v>2</v>
      </c>
      <c r="Z92" s="7">
        <v>3</v>
      </c>
      <c r="AA92" s="10">
        <f t="shared" si="11"/>
        <v>1</v>
      </c>
      <c r="AB92" s="11">
        <f t="shared" si="12"/>
        <v>3</v>
      </c>
      <c r="AC92" s="356"/>
      <c r="AD92" s="17"/>
      <c r="AE92" s="357"/>
      <c r="AF92" s="357"/>
      <c r="AG92" s="358"/>
      <c r="AH92" s="349"/>
      <c r="AI92" s="7"/>
      <c r="AJ92" s="10" t="str">
        <f t="shared" si="13"/>
        <v>CIRQUE</v>
      </c>
      <c r="AK92" s="299" t="str">
        <f t="shared" si="14"/>
        <v>All</v>
      </c>
    </row>
    <row r="93" spans="1:37">
      <c r="A93" s="332" t="str">
        <f>Supplement[[#This Row],[Company]] &amp; "-" &amp; Supplement[[#This Row],[Department]] &amp; "-" &amp; $AT$2 &amp; "-" &amp; TEXT(COUNTIF(INDEX(Supplement[Department],1):Supplement[[#This Row],[Department]],Supplement[[#This Row],[Department]]),"0000")</f>
        <v>CIRQUE-All-Suppliment etc-0088</v>
      </c>
      <c r="B93" s="348" t="s">
        <v>990</v>
      </c>
      <c r="C93" s="16" t="s">
        <v>1081</v>
      </c>
      <c r="D93" s="350" t="s">
        <v>887</v>
      </c>
      <c r="E93" s="350" t="s">
        <v>890</v>
      </c>
      <c r="F93" s="349" t="s">
        <v>1155</v>
      </c>
      <c r="G93" s="14" t="s">
        <v>899</v>
      </c>
      <c r="H93" s="342"/>
      <c r="I93" s="351" t="s">
        <v>1169</v>
      </c>
      <c r="J93" s="351" t="s">
        <v>1174</v>
      </c>
      <c r="K93" s="16"/>
      <c r="L93" s="67" t="s">
        <v>913</v>
      </c>
      <c r="M93" s="13"/>
      <c r="N93" s="67" t="s">
        <v>1177</v>
      </c>
      <c r="O93" s="16" t="s">
        <v>1185</v>
      </c>
      <c r="P93" s="352"/>
      <c r="Q93" s="352"/>
      <c r="R93" s="353"/>
      <c r="S93" s="353"/>
      <c r="T93" s="355"/>
      <c r="U93" s="7">
        <v>2</v>
      </c>
      <c r="V93" s="7">
        <v>1</v>
      </c>
      <c r="W93" s="7">
        <v>1</v>
      </c>
      <c r="X93" s="10">
        <f t="shared" si="10"/>
        <v>3</v>
      </c>
      <c r="Y93" s="7">
        <v>2</v>
      </c>
      <c r="Z93" s="7">
        <v>3</v>
      </c>
      <c r="AA93" s="10">
        <f t="shared" si="11"/>
        <v>1</v>
      </c>
      <c r="AB93" s="11">
        <f t="shared" si="12"/>
        <v>3</v>
      </c>
      <c r="AC93" s="356"/>
      <c r="AD93" s="17"/>
      <c r="AE93" s="357"/>
      <c r="AF93" s="357"/>
      <c r="AG93" s="358"/>
      <c r="AH93" s="349"/>
      <c r="AI93" s="7"/>
      <c r="AJ93" s="10" t="str">
        <f t="shared" si="13"/>
        <v>CIRQUE</v>
      </c>
      <c r="AK93" s="299" t="str">
        <f t="shared" si="14"/>
        <v>All</v>
      </c>
    </row>
    <row r="94" spans="1:37">
      <c r="A94" s="332" t="str">
        <f>Supplement[[#This Row],[Company]] &amp; "-" &amp; Supplement[[#This Row],[Department]] &amp; "-" &amp; $AT$2 &amp; "-" &amp; TEXT(COUNTIF(INDEX(Supplement[Department],1):Supplement[[#This Row],[Department]],Supplement[[#This Row],[Department]]),"0000")</f>
        <v>CIRQUE-All-Suppliment etc-0089</v>
      </c>
      <c r="B94" s="348" t="s">
        <v>991</v>
      </c>
      <c r="C94" s="16" t="s">
        <v>1082</v>
      </c>
      <c r="D94" s="350" t="s">
        <v>887</v>
      </c>
      <c r="E94" s="350" t="s">
        <v>890</v>
      </c>
      <c r="F94" s="349" t="s">
        <v>1156</v>
      </c>
      <c r="G94" s="14" t="s">
        <v>899</v>
      </c>
      <c r="H94" s="342"/>
      <c r="I94" s="351" t="s">
        <v>1169</v>
      </c>
      <c r="J94" s="351" t="s">
        <v>1174</v>
      </c>
      <c r="K94" s="16"/>
      <c r="L94" s="67" t="s">
        <v>913</v>
      </c>
      <c r="M94" s="13"/>
      <c r="N94" s="67" t="s">
        <v>1177</v>
      </c>
      <c r="O94" s="16" t="s">
        <v>1185</v>
      </c>
      <c r="P94" s="352"/>
      <c r="Q94" s="352"/>
      <c r="R94" s="353"/>
      <c r="S94" s="353"/>
      <c r="T94" s="355"/>
      <c r="U94" s="7">
        <v>2</v>
      </c>
      <c r="V94" s="7">
        <v>1</v>
      </c>
      <c r="W94" s="7">
        <v>1</v>
      </c>
      <c r="X94" s="10">
        <f t="shared" si="10"/>
        <v>3</v>
      </c>
      <c r="Y94" s="7">
        <v>2</v>
      </c>
      <c r="Z94" s="7">
        <v>3</v>
      </c>
      <c r="AA94" s="10">
        <f t="shared" si="11"/>
        <v>1</v>
      </c>
      <c r="AB94" s="11">
        <f t="shared" si="12"/>
        <v>3</v>
      </c>
      <c r="AC94" s="356"/>
      <c r="AD94" s="17"/>
      <c r="AE94" s="357"/>
      <c r="AF94" s="357"/>
      <c r="AG94" s="358"/>
      <c r="AH94" s="349"/>
      <c r="AI94" s="7"/>
      <c r="AJ94" s="10" t="str">
        <f t="shared" si="13"/>
        <v>CIRQUE</v>
      </c>
      <c r="AK94" s="299" t="str">
        <f t="shared" si="14"/>
        <v>All</v>
      </c>
    </row>
    <row r="95" spans="1:37">
      <c r="A95" s="332" t="str">
        <f>Supplement[[#This Row],[Company]] &amp; "-" &amp; Supplement[[#This Row],[Department]] &amp; "-" &amp; $AT$2 &amp; "-" &amp; TEXT(COUNTIF(INDEX(Supplement[Department],1):Supplement[[#This Row],[Department]],Supplement[[#This Row],[Department]]),"0000")</f>
        <v>CIRQUE-All-Suppliment etc-0090</v>
      </c>
      <c r="B95" s="348" t="s">
        <v>992</v>
      </c>
      <c r="C95" s="16" t="s">
        <v>1083</v>
      </c>
      <c r="D95" s="350" t="s">
        <v>887</v>
      </c>
      <c r="E95" s="350" t="s">
        <v>890</v>
      </c>
      <c r="F95" s="349" t="s">
        <v>1157</v>
      </c>
      <c r="G95" s="14" t="s">
        <v>899</v>
      </c>
      <c r="H95" s="342"/>
      <c r="I95" s="351" t="s">
        <v>1169</v>
      </c>
      <c r="J95" s="351" t="s">
        <v>1174</v>
      </c>
      <c r="K95" s="16"/>
      <c r="L95" s="67" t="s">
        <v>913</v>
      </c>
      <c r="M95" s="13"/>
      <c r="N95" s="67" t="s">
        <v>1177</v>
      </c>
      <c r="O95" s="16" t="s">
        <v>1185</v>
      </c>
      <c r="P95" s="352"/>
      <c r="Q95" s="352"/>
      <c r="R95" s="353"/>
      <c r="S95" s="353"/>
      <c r="T95" s="355"/>
      <c r="U95" s="7">
        <v>2</v>
      </c>
      <c r="V95" s="7">
        <v>1</v>
      </c>
      <c r="W95" s="7">
        <v>1</v>
      </c>
      <c r="X95" s="10">
        <f t="shared" si="10"/>
        <v>3</v>
      </c>
      <c r="Y95" s="7">
        <v>2</v>
      </c>
      <c r="Z95" s="7">
        <v>3</v>
      </c>
      <c r="AA95" s="10">
        <f t="shared" si="11"/>
        <v>1</v>
      </c>
      <c r="AB95" s="11">
        <f t="shared" si="12"/>
        <v>3</v>
      </c>
      <c r="AC95" s="356"/>
      <c r="AD95" s="17"/>
      <c r="AE95" s="357"/>
      <c r="AF95" s="357"/>
      <c r="AG95" s="358"/>
      <c r="AH95" s="349"/>
      <c r="AI95" s="7"/>
      <c r="AJ95" s="10" t="str">
        <f t="shared" si="13"/>
        <v>CIRQUE</v>
      </c>
      <c r="AK95" s="299" t="str">
        <f t="shared" si="14"/>
        <v>All</v>
      </c>
    </row>
    <row r="96" spans="1:37">
      <c r="A96" s="332" t="str">
        <f>Supplement[[#This Row],[Company]] &amp; "-" &amp; Supplement[[#This Row],[Department]] &amp; "-" &amp; $AT$2 &amp; "-" &amp; TEXT(COUNTIF(INDEX(Supplement[Department],1):Supplement[[#This Row],[Department]],Supplement[[#This Row],[Department]]),"0000")</f>
        <v>CIRQUE-All-Suppliment etc-0091</v>
      </c>
      <c r="B96" s="348" t="s">
        <v>993</v>
      </c>
      <c r="C96" s="16" t="s">
        <v>1084</v>
      </c>
      <c r="D96" s="350" t="s">
        <v>887</v>
      </c>
      <c r="E96" s="350" t="s">
        <v>890</v>
      </c>
      <c r="F96" s="349" t="s">
        <v>1158</v>
      </c>
      <c r="G96" s="14" t="s">
        <v>899</v>
      </c>
      <c r="H96" s="342"/>
      <c r="I96" s="351" t="s">
        <v>1169</v>
      </c>
      <c r="J96" s="351" t="s">
        <v>1174</v>
      </c>
      <c r="K96" s="16"/>
      <c r="L96" s="67" t="s">
        <v>913</v>
      </c>
      <c r="M96" s="13"/>
      <c r="N96" s="67" t="s">
        <v>1177</v>
      </c>
      <c r="O96" s="16" t="s">
        <v>1185</v>
      </c>
      <c r="P96" s="352"/>
      <c r="Q96" s="352"/>
      <c r="R96" s="353"/>
      <c r="S96" s="353"/>
      <c r="T96" s="355"/>
      <c r="U96" s="7">
        <v>2</v>
      </c>
      <c r="V96" s="7">
        <v>1</v>
      </c>
      <c r="W96" s="7">
        <v>1</v>
      </c>
      <c r="X96" s="10">
        <f t="shared" si="10"/>
        <v>3</v>
      </c>
      <c r="Y96" s="7">
        <v>2</v>
      </c>
      <c r="Z96" s="7">
        <v>3</v>
      </c>
      <c r="AA96" s="10">
        <f t="shared" si="11"/>
        <v>1</v>
      </c>
      <c r="AB96" s="11">
        <f t="shared" si="12"/>
        <v>3</v>
      </c>
      <c r="AC96" s="356"/>
      <c r="AD96" s="17"/>
      <c r="AE96" s="357"/>
      <c r="AF96" s="357"/>
      <c r="AG96" s="358"/>
      <c r="AH96" s="349"/>
      <c r="AI96" s="7"/>
      <c r="AJ96" s="10" t="str">
        <f t="shared" si="13"/>
        <v>CIRQUE</v>
      </c>
      <c r="AK96" s="299" t="str">
        <f t="shared" si="14"/>
        <v>All</v>
      </c>
    </row>
    <row r="97" spans="1:37">
      <c r="A97" s="332" t="str">
        <f>Supplement[[#This Row],[Company]] &amp; "-" &amp; Supplement[[#This Row],[Department]] &amp; "-" &amp; $AT$2 &amp; "-" &amp; TEXT(COUNTIF(INDEX(Supplement[Department],1):Supplement[[#This Row],[Department]],Supplement[[#This Row],[Department]]),"0000")</f>
        <v>CIRQUE-All-Suppliment etc-0092</v>
      </c>
      <c r="B97" s="348">
        <v>1</v>
      </c>
      <c r="C97" s="16" t="s">
        <v>1085</v>
      </c>
      <c r="D97" s="350" t="s">
        <v>888</v>
      </c>
      <c r="E97" s="350" t="s">
        <v>1089</v>
      </c>
      <c r="F97" s="349" t="s">
        <v>1090</v>
      </c>
      <c r="G97" s="14" t="s">
        <v>794</v>
      </c>
      <c r="H97" s="342"/>
      <c r="I97" s="351" t="s">
        <v>1170</v>
      </c>
      <c r="J97" s="351" t="s">
        <v>1175</v>
      </c>
      <c r="K97" s="16"/>
      <c r="L97" s="67" t="s">
        <v>913</v>
      </c>
      <c r="M97" s="13"/>
      <c r="N97" s="67" t="s">
        <v>1178</v>
      </c>
      <c r="O97" s="16"/>
      <c r="P97" s="352" t="s">
        <v>1192</v>
      </c>
      <c r="Q97" s="352" t="s">
        <v>1193</v>
      </c>
      <c r="R97" s="353" t="s">
        <v>899</v>
      </c>
      <c r="S97" s="353" t="s">
        <v>1196</v>
      </c>
      <c r="T97" s="355"/>
      <c r="U97" s="7">
        <v>3</v>
      </c>
      <c r="V97" s="7">
        <v>3</v>
      </c>
      <c r="W97" s="7">
        <v>3</v>
      </c>
      <c r="X97" s="10">
        <f t="shared" si="10"/>
        <v>3</v>
      </c>
      <c r="Y97" s="7">
        <v>4</v>
      </c>
      <c r="Z97" s="7">
        <v>3</v>
      </c>
      <c r="AA97" s="10">
        <f t="shared" si="11"/>
        <v>1</v>
      </c>
      <c r="AB97" s="11">
        <f t="shared" si="12"/>
        <v>3</v>
      </c>
      <c r="AC97" s="356"/>
      <c r="AD97" s="17"/>
      <c r="AE97" s="357"/>
      <c r="AF97" s="357"/>
      <c r="AG97" s="358"/>
      <c r="AH97" s="349"/>
      <c r="AI97" s="7"/>
      <c r="AJ97" s="10" t="str">
        <f t="shared" si="13"/>
        <v>CIRQUE</v>
      </c>
      <c r="AK97" s="299" t="str">
        <f t="shared" si="14"/>
        <v>All</v>
      </c>
    </row>
    <row r="98" spans="1:37">
      <c r="A98" s="332" t="str">
        <f>Supplement[[#This Row],[Company]] &amp; "-" &amp; Supplement[[#This Row],[Department]] &amp; "-" &amp; $AT$2 &amp; "-" &amp; TEXT(COUNTIF(INDEX(Supplement[Department],1):Supplement[[#This Row],[Department]],Supplement[[#This Row],[Department]]),"0000")</f>
        <v>CIRQUE-All-Suppliment etc-0093</v>
      </c>
      <c r="B98" s="348">
        <v>2</v>
      </c>
      <c r="C98" s="16" t="s">
        <v>1086</v>
      </c>
      <c r="D98" s="350" t="s">
        <v>888</v>
      </c>
      <c r="E98" s="350" t="s">
        <v>1089</v>
      </c>
      <c r="F98" s="349" t="s">
        <v>1090</v>
      </c>
      <c r="G98" s="14" t="s">
        <v>1159</v>
      </c>
      <c r="H98" s="342"/>
      <c r="I98" s="351" t="s">
        <v>1171</v>
      </c>
      <c r="J98" s="351" t="s">
        <v>1174</v>
      </c>
      <c r="K98" s="16"/>
      <c r="L98" s="67" t="s">
        <v>913</v>
      </c>
      <c r="M98" s="13"/>
      <c r="N98" s="67" t="s">
        <v>1179</v>
      </c>
      <c r="O98" s="16"/>
      <c r="P98" s="352" t="s">
        <v>1192</v>
      </c>
      <c r="Q98" s="352" t="s">
        <v>1194</v>
      </c>
      <c r="R98" s="353" t="s">
        <v>899</v>
      </c>
      <c r="S98" s="353" t="s">
        <v>1196</v>
      </c>
      <c r="T98" s="355"/>
      <c r="U98" s="7">
        <v>3</v>
      </c>
      <c r="V98" s="7">
        <v>3</v>
      </c>
      <c r="W98" s="7">
        <v>3</v>
      </c>
      <c r="X98" s="10">
        <f t="shared" si="10"/>
        <v>3</v>
      </c>
      <c r="Y98" s="7">
        <v>4</v>
      </c>
      <c r="Z98" s="7">
        <v>3</v>
      </c>
      <c r="AA98" s="10">
        <f t="shared" si="11"/>
        <v>1</v>
      </c>
      <c r="AB98" s="11">
        <f t="shared" si="12"/>
        <v>3</v>
      </c>
      <c r="AC98" s="356"/>
      <c r="AD98" s="17"/>
      <c r="AE98" s="357"/>
      <c r="AF98" s="357"/>
      <c r="AG98" s="358"/>
      <c r="AH98" s="349"/>
      <c r="AI98" s="7"/>
      <c r="AJ98" s="10" t="str">
        <f t="shared" si="13"/>
        <v>CIRQUE</v>
      </c>
      <c r="AK98" s="299" t="str">
        <f t="shared" si="14"/>
        <v>All</v>
      </c>
    </row>
    <row r="99" spans="1:37">
      <c r="A99" s="332" t="str">
        <f>Supplement[[#This Row],[Company]] &amp; "-" &amp; Supplement[[#This Row],[Department]] &amp; "-" &amp; $AT$2 &amp; "-" &amp; TEXT(COUNTIF(INDEX(Supplement[Department],1):Supplement[[#This Row],[Department]],Supplement[[#This Row],[Department]]),"0000")</f>
        <v>CIRQUE-All-Suppliment etc-0094</v>
      </c>
      <c r="B99" s="348">
        <v>3</v>
      </c>
      <c r="C99" s="16" t="s">
        <v>1087</v>
      </c>
      <c r="D99" s="350" t="s">
        <v>1088</v>
      </c>
      <c r="E99" s="350" t="s">
        <v>1089</v>
      </c>
      <c r="F99" s="349" t="s">
        <v>1090</v>
      </c>
      <c r="G99" s="14" t="s">
        <v>794</v>
      </c>
      <c r="H99" s="342"/>
      <c r="I99" s="351" t="s">
        <v>1172</v>
      </c>
      <c r="J99" s="351" t="s">
        <v>1175</v>
      </c>
      <c r="K99" s="16"/>
      <c r="L99" s="67" t="s">
        <v>913</v>
      </c>
      <c r="M99" s="13"/>
      <c r="N99" s="67" t="s">
        <v>1172</v>
      </c>
      <c r="O99" s="16"/>
      <c r="P99" s="352" t="s">
        <v>1192</v>
      </c>
      <c r="Q99" s="352" t="s">
        <v>1195</v>
      </c>
      <c r="R99" s="353" t="s">
        <v>899</v>
      </c>
      <c r="S99" s="353" t="s">
        <v>1196</v>
      </c>
      <c r="T99" s="355"/>
      <c r="U99" s="7">
        <v>3</v>
      </c>
      <c r="V99" s="7">
        <v>3</v>
      </c>
      <c r="W99" s="7">
        <v>3</v>
      </c>
      <c r="X99" s="10">
        <f t="shared" si="10"/>
        <v>3</v>
      </c>
      <c r="Y99" s="7">
        <v>4</v>
      </c>
      <c r="Z99" s="7">
        <v>3</v>
      </c>
      <c r="AA99" s="10">
        <f t="shared" si="11"/>
        <v>1</v>
      </c>
      <c r="AB99" s="11">
        <f t="shared" si="12"/>
        <v>3</v>
      </c>
      <c r="AC99" s="356"/>
      <c r="AD99" s="17"/>
      <c r="AE99" s="357"/>
      <c r="AF99" s="357"/>
      <c r="AG99" s="358"/>
      <c r="AH99" s="349"/>
      <c r="AI99" s="7"/>
      <c r="AJ99" s="10" t="str">
        <f t="shared" si="13"/>
        <v>CIRQUE</v>
      </c>
      <c r="AK99" s="299" t="str">
        <f t="shared" si="14"/>
        <v>All</v>
      </c>
    </row>
    <row r="100" spans="1:37">
      <c r="A100" s="338" t="str">
        <f>Supplement[[#This Row],[Company]] &amp; "-" &amp; Supplement[[#This Row],[Department]] &amp; "-" &amp; $AT$2 &amp; "-" &amp; TEXT(COUNTIF(INDEX(Supplement[Department],1):Supplement[[#This Row],[Department]],Supplement[[#This Row],[Department]]),"0000")</f>
        <v>CIRQUE-All-Suppliment etc-0095</v>
      </c>
      <c r="B100" s="348">
        <v>4</v>
      </c>
      <c r="C100" s="16" t="s">
        <v>907</v>
      </c>
      <c r="D100" s="350" t="s">
        <v>888</v>
      </c>
      <c r="E100" s="350" t="s">
        <v>1089</v>
      </c>
      <c r="F100" s="349" t="s">
        <v>892</v>
      </c>
      <c r="G100" s="14" t="s">
        <v>899</v>
      </c>
      <c r="H100" s="342"/>
      <c r="I100" s="351" t="s">
        <v>1173</v>
      </c>
      <c r="J100" s="351" t="s">
        <v>1175</v>
      </c>
      <c r="K100" s="16"/>
      <c r="L100" s="67" t="s">
        <v>913</v>
      </c>
      <c r="M100" s="13"/>
      <c r="N100" s="67" t="s">
        <v>1178</v>
      </c>
      <c r="O100" s="16"/>
      <c r="P100" s="352" t="s">
        <v>1192</v>
      </c>
      <c r="Q100" s="352" t="s">
        <v>1195</v>
      </c>
      <c r="R100" s="353" t="s">
        <v>899</v>
      </c>
      <c r="S100" s="353" t="s">
        <v>1197</v>
      </c>
      <c r="T100" s="355"/>
      <c r="U100" s="14">
        <v>3</v>
      </c>
      <c r="V100" s="14">
        <v>3</v>
      </c>
      <c r="W100" s="14">
        <v>3</v>
      </c>
      <c r="X100" s="345">
        <f t="shared" si="10"/>
        <v>3</v>
      </c>
      <c r="Y100" s="14">
        <v>4</v>
      </c>
      <c r="Z100" s="14">
        <v>3</v>
      </c>
      <c r="AA100" s="345">
        <f t="shared" si="11"/>
        <v>1</v>
      </c>
      <c r="AB100" s="346">
        <f t="shared" si="12"/>
        <v>3</v>
      </c>
      <c r="AC100" s="356"/>
      <c r="AD100" s="17"/>
      <c r="AE100" s="357"/>
      <c r="AF100" s="357"/>
      <c r="AG100" s="358"/>
      <c r="AH100" s="349"/>
      <c r="AI100" s="14"/>
      <c r="AJ100" s="345" t="str">
        <f t="shared" si="13"/>
        <v>CIRQUE</v>
      </c>
      <c r="AK100" s="305" t="str">
        <f t="shared" si="14"/>
        <v>All</v>
      </c>
    </row>
  </sheetData>
  <phoneticPr fontId="1"/>
  <conditionalFormatting sqref="AB6:AB100">
    <cfRule type="cellIs" dxfId="8" priority="1" operator="greaterThan">
      <formula>6</formula>
    </cfRule>
    <cfRule type="cellIs" dxfId="7" priority="2" operator="between">
      <formula>4</formula>
      <formula>6</formula>
    </cfRule>
    <cfRule type="cellIs" dxfId="6" priority="3" operator="lessThan">
      <formula>4</formula>
    </cfRule>
  </conditionalFormatting>
  <dataValidations count="8">
    <dataValidation type="list" allowBlank="1" showInputMessage="1" showErrorMessage="1" sqref="K6:K1048576 C1:C2" xr:uid="{4E054DD3-4248-4368-8672-054DD67BD4B9}">
      <formula1>Assets_Type</formula1>
    </dataValidation>
    <dataValidation type="list" allowBlank="1" showInputMessage="1" showErrorMessage="1" sqref="J6:J1048576" xr:uid="{2BFD6E3D-9C5E-48CB-88F6-DA1C55FAA24E}">
      <formula1>External_Public</formula1>
    </dataValidation>
    <dataValidation type="list" allowBlank="1" showInputMessage="1" showErrorMessage="1" sqref="U6:U1048576" xr:uid="{4954F8F3-649A-4CA0-9D59-B7373E3C32D5}">
      <formula1>Confidentiality</formula1>
    </dataValidation>
    <dataValidation type="list" allowBlank="1" showInputMessage="1" showErrorMessage="1" sqref="V6:V1048576 AL7:AL1048576" xr:uid="{107EE8CC-F6F8-40A6-A4AF-3D3EF9D88582}">
      <formula1>Integrity</formula1>
    </dataValidation>
    <dataValidation type="list" allowBlank="1" showInputMessage="1" showErrorMessage="1" sqref="W6:W1048576 AM7:AM1048576" xr:uid="{B0E54C98-B865-4F82-A795-F3489A69BD83}">
      <formula1>Availability</formula1>
    </dataValidation>
    <dataValidation type="list" allowBlank="1" showInputMessage="1" showErrorMessage="1" sqref="Y6:Y1048576 AO7:AO1048576" xr:uid="{EA7E6218-D8D2-4E49-8545-C495C3A24C83}">
      <formula1>Threat_probality_Class</formula1>
    </dataValidation>
    <dataValidation type="list" allowBlank="1" showInputMessage="1" showErrorMessage="1" sqref="Z6:Z1048576 AP7:AP1048576" xr:uid="{C5A9DC75-D677-444C-9FC7-961937D8D7CC}">
      <formula1>Vulnerability_Class</formula1>
    </dataValidation>
    <dataValidation type="list" allowBlank="1" showInputMessage="1" showErrorMessage="1" sqref="T6:T1048576" xr:uid="{B949E68F-6A80-4978-B942-910049C1051F}">
      <formula1>"Yes,No"</formula1>
    </dataValidation>
  </dataValidations>
  <printOptions horizontalCentered="1"/>
  <pageMargins left="0.19685039370078741" right="0.19685039370078741" top="0.19685039370078741" bottom="0.19685039370078741" header="0.31496062992125984" footer="0.31496062992125984"/>
  <pageSetup paperSize="13" orientation="portrait" horizontalDpi="1200" verticalDpi="1200"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94C58-C74E-4D82-9488-A6D6E90B23C8}">
  <sheetPr codeName="Sheet4">
    <tabColor rgb="FF66CCFF"/>
  </sheetPr>
  <dimension ref="A1:AM11"/>
  <sheetViews>
    <sheetView zoomScale="90" zoomScaleNormal="90" workbookViewId="0">
      <pane xSplit="1" ySplit="5" topLeftCell="K6" activePane="bottomRight" state="frozen"/>
      <selection pane="topRight" activeCell="B1" sqref="B1"/>
      <selection pane="bottomLeft" activeCell="A8" sqref="A8"/>
      <selection pane="bottomRight" activeCell="O17" sqref="O17"/>
    </sheetView>
  </sheetViews>
  <sheetFormatPr defaultColWidth="2.375" defaultRowHeight="15.95" customHeight="1" outlineLevelRow="1"/>
  <cols>
    <col min="1" max="2" width="20.375" style="4" customWidth="1"/>
    <col min="3" max="3" width="19.75" style="4" customWidth="1"/>
    <col min="4" max="4" width="19.25" style="4" customWidth="1"/>
    <col min="5" max="5" width="24.625" style="4" customWidth="1"/>
    <col min="6" max="6" width="17.5" bestFit="1" customWidth="1"/>
    <col min="7" max="7" width="26.875" bestFit="1" customWidth="1"/>
    <col min="8" max="8" width="16.5" bestFit="1" customWidth="1"/>
    <col min="9" max="9" width="26.875" customWidth="1"/>
    <col min="10" max="10" width="42.375" customWidth="1"/>
    <col min="11" max="11" width="43.75" style="4" customWidth="1"/>
    <col min="12" max="12" width="18.625" style="4" customWidth="1"/>
    <col min="13" max="13" width="14.125" style="4" customWidth="1"/>
    <col min="14" max="14" width="23.125" style="4" customWidth="1"/>
    <col min="15" max="15" width="18.125" bestFit="1" customWidth="1"/>
    <col min="16" max="16" width="18.375" bestFit="1" customWidth="1"/>
    <col min="17" max="17" width="17.75" style="1" bestFit="1" customWidth="1"/>
    <col min="18" max="18" width="19.5" style="4" customWidth="1"/>
    <col min="19" max="19" width="18.375" style="4" customWidth="1"/>
    <col min="20" max="20" width="18.25" customWidth="1"/>
    <col min="21" max="22" width="15.875" style="4" customWidth="1"/>
    <col min="23" max="24" width="30.25" style="4" customWidth="1"/>
    <col min="25" max="25" width="15.875" style="4" customWidth="1"/>
    <col min="26" max="26" width="10.625" customWidth="1"/>
    <col min="27" max="27" width="10.875" customWidth="1"/>
    <col min="28" max="28" width="12" customWidth="1"/>
    <col min="40" max="40" width="27.625" style="4" customWidth="1"/>
    <col min="41" max="45" width="18.625" style="4" customWidth="1"/>
    <col min="46" max="48" width="14.125" style="4" customWidth="1"/>
    <col min="49" max="16384" width="2.375" style="4"/>
  </cols>
  <sheetData>
    <row r="1" spans="1:39" ht="16.5">
      <c r="A1" s="385" t="s">
        <v>1374</v>
      </c>
      <c r="B1" s="100"/>
      <c r="C1" s="100"/>
      <c r="E1" s="100"/>
      <c r="F1" s="4"/>
      <c r="G1" s="385"/>
      <c r="H1" s="4"/>
      <c r="I1" s="4"/>
      <c r="J1" s="100"/>
      <c r="K1" s="126" t="s">
        <v>1375</v>
      </c>
      <c r="O1" s="4"/>
      <c r="P1" s="4"/>
      <c r="Q1" s="4"/>
      <c r="T1" s="4"/>
      <c r="AK1" s="4"/>
      <c r="AL1" s="4"/>
      <c r="AM1" s="4"/>
    </row>
    <row r="2" spans="1:39" s="1" customFormat="1" ht="15.95" customHeight="1" outlineLevel="1">
      <c r="A2" s="3" t="s">
        <v>0</v>
      </c>
      <c r="B2" s="3" t="s">
        <v>1</v>
      </c>
      <c r="C2" s="3" t="s">
        <v>2</v>
      </c>
      <c r="D2" s="45"/>
      <c r="E2" s="2" t="s">
        <v>3</v>
      </c>
      <c r="F2" s="2" t="s">
        <v>795</v>
      </c>
      <c r="G2" s="2" t="s">
        <v>25</v>
      </c>
      <c r="H2" s="2" t="s">
        <v>796</v>
      </c>
      <c r="I2" s="2" t="s">
        <v>145</v>
      </c>
      <c r="J2" s="1" t="s">
        <v>226</v>
      </c>
      <c r="K2" s="359" t="s">
        <v>228</v>
      </c>
    </row>
    <row r="3" spans="1:39" s="1" customFormat="1" ht="65.25" customHeight="1">
      <c r="A3" s="371"/>
      <c r="B3" s="371"/>
      <c r="C3" s="371"/>
      <c r="E3" s="372"/>
    </row>
    <row r="4" spans="1:39" s="25" customFormat="1" ht="65.45" customHeight="1">
      <c r="A4" s="386" t="s">
        <v>1376</v>
      </c>
      <c r="B4" s="386" t="s">
        <v>128</v>
      </c>
      <c r="C4" s="374" t="s">
        <v>556</v>
      </c>
      <c r="D4" s="374" t="s">
        <v>561</v>
      </c>
      <c r="E4" s="374" t="s">
        <v>1377</v>
      </c>
      <c r="F4" s="374" t="s">
        <v>566</v>
      </c>
      <c r="G4" s="374" t="s">
        <v>1378</v>
      </c>
      <c r="H4" s="374" t="s">
        <v>1379</v>
      </c>
      <c r="I4" s="387" t="s">
        <v>1380</v>
      </c>
      <c r="J4" s="374" t="s">
        <v>1381</v>
      </c>
      <c r="K4" s="388" t="s">
        <v>1382</v>
      </c>
      <c r="L4" s="388" t="s">
        <v>1383</v>
      </c>
      <c r="M4" s="374" t="s">
        <v>1384</v>
      </c>
      <c r="N4" s="374" t="s">
        <v>1385</v>
      </c>
      <c r="O4" s="383" t="s">
        <v>1345</v>
      </c>
      <c r="P4" s="383" t="s">
        <v>1346</v>
      </c>
      <c r="Q4" s="384" t="s">
        <v>1347</v>
      </c>
      <c r="R4" s="389" t="s">
        <v>1386</v>
      </c>
      <c r="S4" s="389" t="s">
        <v>1387</v>
      </c>
      <c r="T4" s="389" t="s">
        <v>1388</v>
      </c>
      <c r="U4" s="389" t="s">
        <v>1389</v>
      </c>
      <c r="V4" s="389" t="s">
        <v>1390</v>
      </c>
      <c r="W4" s="374" t="s">
        <v>1391</v>
      </c>
      <c r="X4" s="390" t="s">
        <v>1367</v>
      </c>
      <c r="Y4" s="374" t="s">
        <v>1392</v>
      </c>
      <c r="Z4" s="323" t="s">
        <v>1349</v>
      </c>
      <c r="AA4" s="323" t="s">
        <v>1350</v>
      </c>
      <c r="AB4" s="323" t="s">
        <v>1351</v>
      </c>
    </row>
    <row r="5" spans="1:39" s="25" customFormat="1" ht="52.5">
      <c r="A5" s="311" t="s">
        <v>227</v>
      </c>
      <c r="B5" s="312" t="s">
        <v>128</v>
      </c>
      <c r="C5" s="51" t="s">
        <v>129</v>
      </c>
      <c r="D5" s="51" t="s">
        <v>130</v>
      </c>
      <c r="E5" s="51" t="s">
        <v>228</v>
      </c>
      <c r="F5" s="61" t="s">
        <v>131</v>
      </c>
      <c r="G5" s="313" t="s">
        <v>133</v>
      </c>
      <c r="H5" s="61" t="s">
        <v>226</v>
      </c>
      <c r="I5" s="63" t="s">
        <v>161</v>
      </c>
      <c r="J5" s="51" t="s">
        <v>134</v>
      </c>
      <c r="K5" s="64" t="s">
        <v>135</v>
      </c>
      <c r="L5" s="64" t="s">
        <v>136</v>
      </c>
      <c r="M5" s="51" t="s">
        <v>137</v>
      </c>
      <c r="N5" s="313" t="s">
        <v>139</v>
      </c>
      <c r="O5" s="51" t="s">
        <v>20</v>
      </c>
      <c r="P5" s="51" t="s">
        <v>21</v>
      </c>
      <c r="Q5" s="54" t="s">
        <v>22</v>
      </c>
      <c r="R5" s="58" t="s">
        <v>140</v>
      </c>
      <c r="S5" s="58" t="s">
        <v>141</v>
      </c>
      <c r="T5" s="58" t="s">
        <v>142</v>
      </c>
      <c r="U5" s="58" t="s">
        <v>143</v>
      </c>
      <c r="V5" s="58" t="s">
        <v>144</v>
      </c>
      <c r="W5" s="61" t="s">
        <v>132</v>
      </c>
      <c r="X5" s="62" t="s">
        <v>193</v>
      </c>
      <c r="Y5" s="51" t="s">
        <v>138</v>
      </c>
      <c r="Z5" s="59" t="s">
        <v>24</v>
      </c>
      <c r="AA5" s="59" t="s">
        <v>3</v>
      </c>
      <c r="AB5" s="60" t="s">
        <v>25</v>
      </c>
    </row>
    <row r="6" spans="1:39" ht="15.95" customHeight="1">
      <c r="A6" s="301" t="str">
        <f>Business_Partner_List[[#This Row],[Company]] &amp; "-" &amp; Business_Partner_List[[#This Row],[Department]] &amp; "-" &amp; $I$2 &amp; "-" &amp; TEXT(COUNTIF(INDEX(Business_Partner_List[Department],1):Business_Partner_List[[#This Row],[Department]],Business_Partner_List[[#This Row],[Department]]),"0000")</f>
        <v>CIRQUE-All-BP-0001</v>
      </c>
      <c r="B6" s="296"/>
      <c r="C6" s="13" t="s">
        <v>1198</v>
      </c>
      <c r="D6" s="13" t="s">
        <v>1199</v>
      </c>
      <c r="E6" s="13"/>
      <c r="F6" s="13" t="s">
        <v>1205</v>
      </c>
      <c r="G6" s="67" t="s">
        <v>1211</v>
      </c>
      <c r="H6" s="13" t="s">
        <v>1090</v>
      </c>
      <c r="I6" s="13"/>
      <c r="J6" s="13">
        <v>45512</v>
      </c>
      <c r="K6" s="13">
        <v>45512</v>
      </c>
      <c r="L6" s="13" t="s">
        <v>1213</v>
      </c>
      <c r="M6" s="13" t="s">
        <v>1214</v>
      </c>
      <c r="N6" s="67" t="s">
        <v>1215</v>
      </c>
      <c r="O6" s="7">
        <v>3</v>
      </c>
      <c r="P6" s="7">
        <v>1</v>
      </c>
      <c r="Q6" s="10">
        <f>MAXA(O6-P6,1)</f>
        <v>2</v>
      </c>
      <c r="R6" s="15"/>
      <c r="S6" s="67"/>
      <c r="T6" s="67"/>
      <c r="U6" s="67"/>
      <c r="V6" s="67"/>
      <c r="W6" s="14">
        <v>2</v>
      </c>
      <c r="X6" s="12" t="s">
        <v>1216</v>
      </c>
      <c r="Y6" s="13" t="s">
        <v>1216</v>
      </c>
      <c r="Z6" s="303"/>
      <c r="AA6" s="302" t="str">
        <f>$F$2</f>
        <v>CIRQUE</v>
      </c>
      <c r="AB6" s="302" t="str">
        <f>$H$2</f>
        <v>All</v>
      </c>
      <c r="AC6" s="4"/>
      <c r="AD6" s="4"/>
      <c r="AE6" s="4"/>
      <c r="AF6" s="4"/>
      <c r="AG6" s="4"/>
      <c r="AH6" s="4"/>
      <c r="AI6" s="4"/>
      <c r="AJ6" s="4"/>
      <c r="AK6" s="4"/>
      <c r="AL6" s="4"/>
      <c r="AM6" s="4"/>
    </row>
    <row r="7" spans="1:39" ht="15.95" customHeight="1">
      <c r="A7" s="360" t="str">
        <f>Business_Partner_List[[#This Row],[Company]] &amp; "-" &amp; Business_Partner_List[[#This Row],[Department]] &amp; "-" &amp; $I$2 &amp; "-" &amp; TEXT(COUNTIF(INDEX(Business_Partner_List[Department],1):Business_Partner_List[[#This Row],[Department]],Business_Partner_List[[#This Row],[Department]]),"0000")</f>
        <v>CIRQUE-All-BP-0002</v>
      </c>
      <c r="B7" s="67"/>
      <c r="C7" s="13" t="s">
        <v>1198</v>
      </c>
      <c r="D7" s="13" t="s">
        <v>1200</v>
      </c>
      <c r="E7" s="13"/>
      <c r="F7" s="13" t="s">
        <v>1206</v>
      </c>
      <c r="G7" s="67" t="s">
        <v>1211</v>
      </c>
      <c r="H7" s="13" t="s">
        <v>1090</v>
      </c>
      <c r="I7" s="13"/>
      <c r="J7" s="13">
        <v>45512</v>
      </c>
      <c r="K7" s="13">
        <v>45512</v>
      </c>
      <c r="L7" s="13" t="s">
        <v>1213</v>
      </c>
      <c r="M7" s="13" t="s">
        <v>1214</v>
      </c>
      <c r="N7" s="67" t="s">
        <v>1215</v>
      </c>
      <c r="O7" s="7"/>
      <c r="P7" s="7"/>
      <c r="Q7" s="10">
        <f t="shared" ref="Q7:Q11" si="0">MAXA(O7-P7,1)</f>
        <v>1</v>
      </c>
      <c r="R7" s="15"/>
      <c r="S7" s="67"/>
      <c r="T7" s="67"/>
      <c r="U7" s="67"/>
      <c r="V7" s="67"/>
      <c r="W7" s="14"/>
      <c r="X7" s="361"/>
      <c r="Y7" s="13"/>
      <c r="Z7" s="363"/>
      <c r="AA7" s="364" t="str">
        <f t="shared" ref="AA7:AA11" si="1">$F$2</f>
        <v>CIRQUE</v>
      </c>
      <c r="AB7" s="365" t="str">
        <f t="shared" ref="AB7:AB11" si="2">$H$2</f>
        <v>All</v>
      </c>
    </row>
    <row r="8" spans="1:39" ht="15.95" customHeight="1">
      <c r="A8" s="360" t="str">
        <f>Business_Partner_List[[#This Row],[Company]] &amp; "-" &amp; Business_Partner_List[[#This Row],[Department]] &amp; "-" &amp; $I$2 &amp; "-" &amp; TEXT(COUNTIF(INDEX(Business_Partner_List[Department],1):Business_Partner_List[[#This Row],[Department]],Business_Partner_List[[#This Row],[Department]]),"0000")</f>
        <v>CIRQUE-All-BP-0003</v>
      </c>
      <c r="B8" s="67"/>
      <c r="C8" s="13" t="s">
        <v>1198</v>
      </c>
      <c r="D8" s="352" t="s">
        <v>1201</v>
      </c>
      <c r="E8" s="13"/>
      <c r="F8" s="13" t="s">
        <v>1207</v>
      </c>
      <c r="G8" s="67" t="s">
        <v>1211</v>
      </c>
      <c r="H8" s="13" t="s">
        <v>1090</v>
      </c>
      <c r="I8" s="352"/>
      <c r="J8" s="352">
        <v>45512</v>
      </c>
      <c r="K8" s="352">
        <v>45512</v>
      </c>
      <c r="L8" s="352" t="s">
        <v>1213</v>
      </c>
      <c r="M8" s="13" t="s">
        <v>1214</v>
      </c>
      <c r="N8" s="67" t="s">
        <v>1215</v>
      </c>
      <c r="O8" s="7"/>
      <c r="P8" s="7"/>
      <c r="Q8" s="10">
        <f t="shared" si="0"/>
        <v>1</v>
      </c>
      <c r="R8" s="15"/>
      <c r="S8" s="67"/>
      <c r="T8" s="67"/>
      <c r="U8" s="67"/>
      <c r="V8" s="67"/>
      <c r="W8" s="14"/>
      <c r="X8" s="362"/>
      <c r="Y8" s="13"/>
      <c r="Z8" s="363"/>
      <c r="AA8" s="364" t="str">
        <f t="shared" si="1"/>
        <v>CIRQUE</v>
      </c>
      <c r="AB8" s="365" t="str">
        <f t="shared" si="2"/>
        <v>All</v>
      </c>
    </row>
    <row r="9" spans="1:39" ht="15.95" customHeight="1">
      <c r="A9" s="360" t="str">
        <f>Business_Partner_List[[#This Row],[Company]] &amp; "-" &amp; Business_Partner_List[[#This Row],[Department]] &amp; "-" &amp; $I$2 &amp; "-" &amp; TEXT(COUNTIF(INDEX(Business_Partner_List[Department],1):Business_Partner_List[[#This Row],[Department]],Business_Partner_List[[#This Row],[Department]]),"0000")</f>
        <v>CIRQUE-All-BP-0004</v>
      </c>
      <c r="B9" s="67"/>
      <c r="C9" s="13" t="s">
        <v>1198</v>
      </c>
      <c r="D9" s="352" t="s">
        <v>1202</v>
      </c>
      <c r="E9" s="13"/>
      <c r="F9" s="13" t="s">
        <v>1208</v>
      </c>
      <c r="G9" s="67" t="s">
        <v>1211</v>
      </c>
      <c r="H9" s="13" t="s">
        <v>1090</v>
      </c>
      <c r="I9" s="352"/>
      <c r="J9" s="352">
        <v>45512</v>
      </c>
      <c r="K9" s="352">
        <v>45512</v>
      </c>
      <c r="L9" s="352" t="s">
        <v>1213</v>
      </c>
      <c r="M9" s="13" t="s">
        <v>1214</v>
      </c>
      <c r="N9" s="67" t="s">
        <v>1215</v>
      </c>
      <c r="O9" s="7"/>
      <c r="P9" s="7"/>
      <c r="Q9" s="10">
        <f t="shared" si="0"/>
        <v>1</v>
      </c>
      <c r="R9" s="15"/>
      <c r="S9" s="67"/>
      <c r="T9" s="67"/>
      <c r="U9" s="67"/>
      <c r="V9" s="67"/>
      <c r="W9" s="14"/>
      <c r="X9" s="362"/>
      <c r="Y9" s="13"/>
      <c r="Z9" s="363"/>
      <c r="AA9" s="364" t="str">
        <f t="shared" si="1"/>
        <v>CIRQUE</v>
      </c>
      <c r="AB9" s="365" t="str">
        <f t="shared" si="2"/>
        <v>All</v>
      </c>
    </row>
    <row r="10" spans="1:39" ht="15.95" customHeight="1">
      <c r="A10" s="360" t="str">
        <f>Business_Partner_List[[#This Row],[Company]] &amp; "-" &amp; Business_Partner_List[[#This Row],[Department]] &amp; "-" &amp; $I$2 &amp; "-" &amp; TEXT(COUNTIF(INDEX(Business_Partner_List[Department],1):Business_Partner_List[[#This Row],[Department]],Business_Partner_List[[#This Row],[Department]]),"0000")</f>
        <v>CIRQUE-All-BP-0005</v>
      </c>
      <c r="B10" s="67"/>
      <c r="C10" s="13" t="s">
        <v>1198</v>
      </c>
      <c r="D10" s="352" t="s">
        <v>1203</v>
      </c>
      <c r="E10" s="13"/>
      <c r="F10" s="13" t="s">
        <v>1209</v>
      </c>
      <c r="G10" s="67" t="s">
        <v>1212</v>
      </c>
      <c r="H10" s="13" t="s">
        <v>1090</v>
      </c>
      <c r="I10" s="352"/>
      <c r="J10" s="352">
        <v>45512</v>
      </c>
      <c r="K10" s="352">
        <v>45512</v>
      </c>
      <c r="L10" s="352" t="s">
        <v>1213</v>
      </c>
      <c r="M10" s="13" t="s">
        <v>1214</v>
      </c>
      <c r="N10" s="67" t="s">
        <v>1215</v>
      </c>
      <c r="O10" s="7"/>
      <c r="P10" s="7"/>
      <c r="Q10" s="10">
        <f t="shared" si="0"/>
        <v>1</v>
      </c>
      <c r="R10" s="15"/>
      <c r="S10" s="67"/>
      <c r="T10" s="67"/>
      <c r="U10" s="67"/>
      <c r="V10" s="67"/>
      <c r="W10" s="14"/>
      <c r="X10" s="362"/>
      <c r="Y10" s="13"/>
      <c r="Z10" s="363"/>
      <c r="AA10" s="364" t="str">
        <f t="shared" si="1"/>
        <v>CIRQUE</v>
      </c>
      <c r="AB10" s="365" t="str">
        <f t="shared" si="2"/>
        <v>All</v>
      </c>
    </row>
    <row r="11" spans="1:39" ht="15.95" customHeight="1">
      <c r="A11" s="360" t="str">
        <f>Business_Partner_List[[#This Row],[Company]] &amp; "-" &amp; Business_Partner_List[[#This Row],[Department]] &amp; "-" &amp; $I$2 &amp; "-" &amp; TEXT(COUNTIF(INDEX(Business_Partner_List[Department],1):Business_Partner_List[[#This Row],[Department]],Business_Partner_List[[#This Row],[Department]]),"0000")</f>
        <v>CIRQUE-All-BP-0006</v>
      </c>
      <c r="B11" s="67"/>
      <c r="C11" s="13" t="s">
        <v>1198</v>
      </c>
      <c r="D11" s="352" t="s">
        <v>1204</v>
      </c>
      <c r="E11" s="13"/>
      <c r="F11" s="13" t="s">
        <v>1210</v>
      </c>
      <c r="G11" s="67" t="s">
        <v>1212</v>
      </c>
      <c r="H11" s="13" t="s">
        <v>1090</v>
      </c>
      <c r="I11" s="352"/>
      <c r="J11" s="352">
        <v>45512</v>
      </c>
      <c r="K11" s="352">
        <v>45512</v>
      </c>
      <c r="L11" s="352" t="s">
        <v>1213</v>
      </c>
      <c r="M11" s="13" t="s">
        <v>1214</v>
      </c>
      <c r="N11" s="67" t="s">
        <v>1215</v>
      </c>
      <c r="O11" s="14"/>
      <c r="P11" s="14"/>
      <c r="Q11" s="345">
        <f t="shared" si="0"/>
        <v>1</v>
      </c>
      <c r="R11" s="15"/>
      <c r="S11" s="67"/>
      <c r="T11" s="67"/>
      <c r="U11" s="67"/>
      <c r="V11" s="67"/>
      <c r="W11" s="14"/>
      <c r="X11" s="362"/>
      <c r="Y11" s="13"/>
      <c r="Z11" s="363"/>
      <c r="AA11" s="364" t="str">
        <f t="shared" si="1"/>
        <v>CIRQUE</v>
      </c>
      <c r="AB11" s="365" t="str">
        <f t="shared" si="2"/>
        <v>All</v>
      </c>
    </row>
  </sheetData>
  <phoneticPr fontId="1"/>
  <dataValidations count="4">
    <dataValidation type="list" allowBlank="1" showInputMessage="1" showErrorMessage="1" sqref="W6:W1048576" xr:uid="{FF7B8DF0-358E-46B9-9CF4-D63D19E1030F}">
      <formula1>Availability</formula1>
    </dataValidation>
    <dataValidation type="list" allowBlank="1" showInputMessage="1" showErrorMessage="1" sqref="X6:X1048576" xr:uid="{57403779-6FD4-47CC-9D93-87898BB103B9}">
      <formula1>"Yes,No"</formula1>
    </dataValidation>
    <dataValidation type="list" allowBlank="1" showInputMessage="1" showErrorMessage="1" sqref="O6:O1048576" xr:uid="{68C7DF98-130A-4792-AC92-2E77FB55EB91}">
      <formula1>Threat_probality_Class</formula1>
    </dataValidation>
    <dataValidation type="list" allowBlank="1" showInputMessage="1" showErrorMessage="1" sqref="P6:P1048576" xr:uid="{D6F20380-2C18-4D9C-BFBC-C6A4EDAE924A}">
      <formula1>Vulnerability_Class</formula1>
    </dataValidation>
  </dataValidations>
  <printOptions horizontalCentered="1"/>
  <pageMargins left="0.19685039370078741" right="0.19685039370078741" top="0.19685039370078741" bottom="0.19685039370078741" header="0.31496062992125984" footer="0.31496062992125984"/>
  <pageSetup paperSize="13" orientation="portrait" horizontalDpi="1200" verticalDpi="1200"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03B4A-7B4F-403E-9569-BCF640EC648D}">
  <sheetPr codeName="Sheet5">
    <tabColor rgb="FF66CCFF"/>
  </sheetPr>
  <dimension ref="A1:AG6"/>
  <sheetViews>
    <sheetView zoomScale="80" zoomScaleNormal="80" workbookViewId="0">
      <pane xSplit="1" ySplit="5" topLeftCell="G6" activePane="bottomRight" state="frozen"/>
      <selection pane="topRight" activeCell="B1" sqref="B1"/>
      <selection pane="bottomLeft" activeCell="A8" sqref="A8"/>
      <selection pane="bottomRight" activeCell="U3" sqref="U3"/>
    </sheetView>
  </sheetViews>
  <sheetFormatPr defaultColWidth="2.375" defaultRowHeight="15.95" customHeight="1" outlineLevelRow="1"/>
  <cols>
    <col min="1" max="1" width="24.875" style="4" customWidth="1"/>
    <col min="2" max="2" width="16.375" style="4" customWidth="1"/>
    <col min="3" max="4" width="14.125" style="4" customWidth="1"/>
    <col min="5" max="5" width="27.625" style="4" customWidth="1"/>
    <col min="6" max="6" width="18.625" style="4" customWidth="1"/>
    <col min="7" max="7" width="22" bestFit="1" customWidth="1"/>
    <col min="8" max="8" width="15.5" bestFit="1" customWidth="1"/>
    <col min="9" max="9" width="8.75" bestFit="1" customWidth="1"/>
    <col min="10" max="10" width="9" bestFit="1" customWidth="1"/>
    <col min="11" max="11" width="9.625" bestFit="1" customWidth="1"/>
    <col min="12" max="12" width="8.75" bestFit="1" customWidth="1"/>
    <col min="13" max="13" width="21.125" bestFit="1" customWidth="1"/>
    <col min="14" max="14" width="15.125" style="4" bestFit="1" customWidth="1"/>
    <col min="15" max="15" width="19.75" customWidth="1"/>
    <col min="16" max="16" width="18.75" customWidth="1"/>
    <col min="17" max="17" width="18.625" style="4" customWidth="1"/>
    <col min="18" max="18" width="20.5" customWidth="1"/>
    <col min="19" max="19" width="27.75" bestFit="1" customWidth="1"/>
    <col min="20" max="20" width="18.125" bestFit="1" customWidth="1"/>
    <col min="21" max="21" width="18.375" bestFit="1" customWidth="1"/>
    <col min="22" max="22" width="17.75" style="1" bestFit="1" customWidth="1"/>
    <col min="23" max="23" width="7" bestFit="1" customWidth="1"/>
    <col min="24" max="25" width="13.125" bestFit="1" customWidth="1"/>
    <col min="27" max="27" width="51.125" bestFit="1" customWidth="1"/>
    <col min="30" max="31" width="18.75" customWidth="1"/>
    <col min="32" max="32" width="18.625" style="4" customWidth="1"/>
    <col min="33" max="33" width="23.75" customWidth="1"/>
    <col min="34" max="37" width="18.625" style="4" customWidth="1"/>
    <col min="38" max="38" width="25.625" style="4" customWidth="1"/>
    <col min="39" max="41" width="14.125" style="4" customWidth="1"/>
    <col min="42" max="42" width="14.75" style="4" bestFit="1" customWidth="1"/>
    <col min="43" max="43" width="15.625" style="4" customWidth="1"/>
    <col min="44" max="44" width="12.25" style="4" customWidth="1"/>
    <col min="45" max="45" width="13.25" style="4" customWidth="1"/>
    <col min="46" max="47" width="8.25" style="4" customWidth="1"/>
    <col min="48" max="16384" width="2.375" style="4"/>
  </cols>
  <sheetData>
    <row r="1" spans="1:33" ht="21.2" customHeight="1">
      <c r="A1" s="100" t="s">
        <v>1393</v>
      </c>
      <c r="F1" s="100"/>
      <c r="G1" s="4"/>
      <c r="H1" s="4"/>
      <c r="I1" s="4"/>
      <c r="J1" s="4" t="s">
        <v>1394</v>
      </c>
      <c r="K1" s="4"/>
      <c r="L1" s="4"/>
      <c r="M1" s="4"/>
      <c r="O1" s="4"/>
      <c r="P1" s="4"/>
      <c r="T1" s="4"/>
      <c r="U1" s="4"/>
      <c r="V1" s="4"/>
      <c r="W1" s="4"/>
      <c r="AC1" s="4"/>
      <c r="AE1" s="4"/>
      <c r="AG1" s="4"/>
    </row>
    <row r="2" spans="1:33" s="1" customFormat="1" ht="15.95" customHeight="1" outlineLevel="1">
      <c r="A2" s="3" t="s">
        <v>0</v>
      </c>
      <c r="B2" s="3" t="s">
        <v>1</v>
      </c>
      <c r="C2" s="3" t="s">
        <v>2</v>
      </c>
      <c r="E2" s="2" t="s">
        <v>3</v>
      </c>
      <c r="F2" s="2" t="s">
        <v>795</v>
      </c>
      <c r="G2" s="2" t="s">
        <v>25</v>
      </c>
      <c r="H2" s="2" t="s">
        <v>796</v>
      </c>
      <c r="I2" s="2" t="s">
        <v>149</v>
      </c>
      <c r="J2" s="2"/>
    </row>
    <row r="3" spans="1:33" s="1" customFormat="1" ht="65.25" customHeight="1">
      <c r="A3" s="371"/>
      <c r="B3" s="371"/>
      <c r="C3" s="371"/>
    </row>
    <row r="4" spans="1:33" s="25" customFormat="1" ht="68.45" customHeight="1">
      <c r="A4" s="374" t="s">
        <v>116</v>
      </c>
      <c r="B4" s="374" t="s">
        <v>128</v>
      </c>
      <c r="C4" s="374" t="s">
        <v>1395</v>
      </c>
      <c r="D4" s="374" t="s">
        <v>1396</v>
      </c>
      <c r="E4" s="374" t="s">
        <v>1397</v>
      </c>
      <c r="F4" s="374" t="s">
        <v>1398</v>
      </c>
      <c r="G4" s="375" t="s">
        <v>1399</v>
      </c>
      <c r="H4" s="375" t="s">
        <v>1400</v>
      </c>
      <c r="I4" s="374" t="s">
        <v>1401</v>
      </c>
      <c r="J4" s="374" t="s">
        <v>1354</v>
      </c>
      <c r="K4" s="375" t="s">
        <v>1339</v>
      </c>
      <c r="L4" s="374" t="s">
        <v>1402</v>
      </c>
      <c r="M4" s="374" t="s">
        <v>1403</v>
      </c>
      <c r="N4" s="374" t="s">
        <v>1404</v>
      </c>
      <c r="O4" s="374" t="s">
        <v>1372</v>
      </c>
      <c r="P4" s="375" t="s">
        <v>1405</v>
      </c>
      <c r="Q4" s="374" t="s">
        <v>1406</v>
      </c>
      <c r="R4" s="374" t="s">
        <v>1407</v>
      </c>
      <c r="S4" s="390" t="s">
        <v>1367</v>
      </c>
      <c r="T4" s="383" t="s">
        <v>1345</v>
      </c>
      <c r="U4" s="383" t="s">
        <v>1346</v>
      </c>
      <c r="V4" s="384" t="s">
        <v>1347</v>
      </c>
      <c r="W4" s="323" t="s">
        <v>1349</v>
      </c>
      <c r="X4" s="323" t="s">
        <v>1350</v>
      </c>
      <c r="Y4" s="323" t="s">
        <v>1351</v>
      </c>
    </row>
    <row r="5" spans="1:33" s="27" customFormat="1" ht="99.75">
      <c r="A5" s="41" t="s">
        <v>227</v>
      </c>
      <c r="B5" s="42" t="s">
        <v>128</v>
      </c>
      <c r="C5" s="42" t="s">
        <v>150</v>
      </c>
      <c r="D5" s="42" t="s">
        <v>159</v>
      </c>
      <c r="E5" s="42" t="s">
        <v>151</v>
      </c>
      <c r="F5" s="42" t="s">
        <v>156</v>
      </c>
      <c r="G5" s="34" t="s">
        <v>162</v>
      </c>
      <c r="H5" s="35" t="s">
        <v>157</v>
      </c>
      <c r="I5" s="35" t="s">
        <v>153</v>
      </c>
      <c r="J5" s="35" t="s">
        <v>152</v>
      </c>
      <c r="K5" s="34" t="s">
        <v>154</v>
      </c>
      <c r="L5" s="35" t="s">
        <v>44</v>
      </c>
      <c r="M5" s="43" t="s">
        <v>50</v>
      </c>
      <c r="N5" s="43" t="s">
        <v>51</v>
      </c>
      <c r="O5" s="43" t="s">
        <v>52</v>
      </c>
      <c r="P5" s="43" t="s">
        <v>53</v>
      </c>
      <c r="Q5" s="30" t="s">
        <v>158</v>
      </c>
      <c r="R5" s="42" t="s">
        <v>155</v>
      </c>
      <c r="S5" s="48" t="s">
        <v>193</v>
      </c>
      <c r="T5" s="308" t="s">
        <v>20</v>
      </c>
      <c r="U5" s="308" t="s">
        <v>21</v>
      </c>
      <c r="V5" s="54" t="s">
        <v>22</v>
      </c>
      <c r="W5" s="29" t="s">
        <v>24</v>
      </c>
      <c r="X5" s="29" t="s">
        <v>3</v>
      </c>
      <c r="Y5" s="32" t="s">
        <v>25</v>
      </c>
    </row>
    <row r="6" spans="1:33" ht="14.25">
      <c r="A6" s="301" t="str">
        <f>Project_List[[#This Row],[Company]] &amp; "-" &amp; Project_List[[#This Row],[Department]] &amp; "-" &amp; $I$2 &amp; "-" &amp; TEXT(COUNTIF(INDEX(Project_List[Department],1):Project_List[[#This Row],[Department]],Project_List[[#This Row],[Department]]),"0000")</f>
        <v>CIRQUE-All-Project-0001</v>
      </c>
      <c r="B6" s="67"/>
      <c r="C6" s="13" t="s">
        <v>1217</v>
      </c>
      <c r="D6" s="13" t="s">
        <v>1217</v>
      </c>
      <c r="E6" s="13" t="s">
        <v>1217</v>
      </c>
      <c r="F6" s="17"/>
      <c r="G6" s="13" t="s">
        <v>1217</v>
      </c>
      <c r="H6" s="26" t="s">
        <v>1217</v>
      </c>
      <c r="I6" s="13" t="s">
        <v>1217</v>
      </c>
      <c r="J6" s="14" t="s">
        <v>1217</v>
      </c>
      <c r="K6" s="26" t="s">
        <v>1217</v>
      </c>
      <c r="L6" s="13" t="s">
        <v>1217</v>
      </c>
      <c r="M6" s="44" t="s">
        <v>1217</v>
      </c>
      <c r="N6" s="44" t="s">
        <v>1217</v>
      </c>
      <c r="O6" s="44" t="s">
        <v>1217</v>
      </c>
      <c r="P6" s="26" t="s">
        <v>1217</v>
      </c>
      <c r="Q6" s="13" t="s">
        <v>1218</v>
      </c>
      <c r="R6" s="13"/>
      <c r="S6" s="12"/>
      <c r="T6" s="7">
        <v>3</v>
      </c>
      <c r="U6" s="7">
        <v>1</v>
      </c>
      <c r="V6" s="10">
        <f>MAXA(T6-U6,1)</f>
        <v>2</v>
      </c>
      <c r="W6" s="13"/>
      <c r="X6" s="304" t="str">
        <f>$F$2</f>
        <v>CIRQUE</v>
      </c>
      <c r="Y6" s="305" t="str">
        <f>$H$2</f>
        <v>All</v>
      </c>
      <c r="Z6" s="4"/>
      <c r="AA6" s="4"/>
      <c r="AB6" s="4"/>
      <c r="AC6" s="4"/>
      <c r="AD6" s="4"/>
      <c r="AE6" s="4"/>
      <c r="AG6" s="4"/>
    </row>
  </sheetData>
  <phoneticPr fontId="1"/>
  <dataValidations count="5">
    <dataValidation type="list" allowBlank="1" showInputMessage="1" showErrorMessage="1" sqref="Q6:Q1048576" xr:uid="{5C855FD0-481B-460A-8E12-BABFC05F9DBE}">
      <formula1>"Signed,Not Signed"</formula1>
    </dataValidation>
    <dataValidation type="list" allowBlank="1" showInputMessage="1" showErrorMessage="1" sqref="S6:S1048576" xr:uid="{8E15DB31-2386-41E1-AB67-086A98CB95D3}">
      <formula1>"Yes,No"</formula1>
    </dataValidation>
    <dataValidation type="list" allowBlank="1" showInputMessage="1" showErrorMessage="1" sqref="J6:J1048576" xr:uid="{0831775E-7F1B-43EC-97C9-94C3F894A178}">
      <formula1>Required_Protect_Class</formula1>
    </dataValidation>
    <dataValidation type="list" allowBlank="1" showInputMessage="1" showErrorMessage="1" sqref="T6:T1048576" xr:uid="{24193CCC-E55A-4081-BA2D-64E09D9CBD52}">
      <formula1>Threat_probality_Class</formula1>
    </dataValidation>
    <dataValidation type="list" allowBlank="1" showInputMessage="1" showErrorMessage="1" sqref="U6:U1048576" xr:uid="{B7E0D239-5442-4166-A12D-68EDAAEE5EB6}">
      <formula1>Vulnerability_Class</formula1>
    </dataValidation>
  </dataValidations>
  <printOptions horizontalCentered="1"/>
  <pageMargins left="0.19685039370078741" right="0.19685039370078741" top="0.19685039370078741" bottom="0.19685039370078741" header="0.31496062992125984" footer="0.31496062992125984"/>
  <pageSetup paperSize="13" orientation="portrait" horizontalDpi="1200" verticalDpi="1200"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D7FE-4416-4FE1-8B7E-28F31B8198A4}">
  <sheetPr codeName="Sheet6">
    <tabColor rgb="FF66CCFF"/>
  </sheetPr>
  <dimension ref="A1:Z6"/>
  <sheetViews>
    <sheetView zoomScaleNormal="100" workbookViewId="0">
      <pane xSplit="1" ySplit="5" topLeftCell="B6" activePane="bottomRight" state="frozen"/>
      <selection pane="topRight" activeCell="B1" sqref="B1"/>
      <selection pane="bottomLeft" activeCell="A11" sqref="A11"/>
      <selection pane="bottomRight" activeCell="U9" sqref="U9"/>
    </sheetView>
  </sheetViews>
  <sheetFormatPr defaultColWidth="2.625" defaultRowHeight="14.25" outlineLevelRow="1"/>
  <cols>
    <col min="1" max="1" width="25.25" style="2" bestFit="1" customWidth="1"/>
    <col min="2" max="3" width="18.625" style="1" customWidth="1"/>
    <col min="4" max="4" width="30.25" style="1" bestFit="1" customWidth="1"/>
    <col min="5" max="5" width="28.875" style="2" customWidth="1"/>
    <col min="6" max="6" width="18.625" style="1" customWidth="1"/>
    <col min="7" max="7" width="12" customWidth="1"/>
    <col min="8" max="8" width="11.25" customWidth="1"/>
    <col min="9" max="9" width="18.625" style="1" customWidth="1"/>
    <col min="10" max="10" width="21.5" style="1" customWidth="1"/>
    <col min="11" max="11" width="18.625" style="1" customWidth="1"/>
    <col min="12" max="12" width="18.875" bestFit="1" customWidth="1"/>
    <col min="13" max="13" width="13.625" bestFit="1" customWidth="1"/>
    <col min="14" max="14" width="15.5" bestFit="1" customWidth="1"/>
    <col min="15" max="15" width="16.625" bestFit="1" customWidth="1"/>
    <col min="16" max="16" width="26.125" bestFit="1" customWidth="1"/>
    <col min="17" max="17" width="22.75" bestFit="1" customWidth="1"/>
    <col min="18" max="18" width="23.625" customWidth="1"/>
    <col min="19" max="19" width="9.375" bestFit="1" customWidth="1"/>
    <col min="20" max="20" width="13.375" style="1" bestFit="1" customWidth="1"/>
    <col min="21" max="21" width="13.75" bestFit="1" customWidth="1"/>
    <col min="22" max="22" width="16.375" style="1" bestFit="1" customWidth="1"/>
    <col min="23" max="23" width="32.25" style="1" customWidth="1"/>
    <col min="24" max="26" width="36.75" style="2" customWidth="1"/>
    <col min="27" max="27" width="14.875" style="1" customWidth="1"/>
    <col min="28" max="29" width="14.125" style="1" customWidth="1"/>
    <col min="30" max="30" width="14.75" style="1" customWidth="1"/>
    <col min="31" max="31" width="21.375" style="1" customWidth="1"/>
    <col min="32" max="32" width="18.25" style="1" customWidth="1"/>
    <col min="33" max="33" width="28.5" style="1" customWidth="1"/>
    <col min="34" max="34" width="15" style="1" customWidth="1"/>
    <col min="35" max="35" width="31.375" style="1" customWidth="1"/>
    <col min="36" max="36" width="24.375" style="1" customWidth="1"/>
    <col min="37" max="37" width="22.375" style="1" customWidth="1"/>
    <col min="38" max="38" width="17.5" style="1" customWidth="1"/>
    <col min="39" max="39" width="23.625" style="1" customWidth="1"/>
    <col min="40" max="40" width="17" style="1" customWidth="1"/>
    <col min="41" max="41" width="16" style="1" customWidth="1"/>
    <col min="42" max="42" width="16.25" style="1" customWidth="1"/>
    <col min="43" max="43" width="17.25" style="1" customWidth="1"/>
    <col min="44" max="16384" width="2.625" style="1"/>
  </cols>
  <sheetData>
    <row r="1" spans="1:26" ht="21.2" customHeight="1">
      <c r="A1" s="100" t="s">
        <v>1408</v>
      </c>
      <c r="C1" s="4"/>
      <c r="D1" s="4"/>
      <c r="E1" s="4"/>
      <c r="F1" s="4"/>
      <c r="G1" s="4"/>
      <c r="H1" s="4"/>
      <c r="I1" s="4"/>
      <c r="L1" s="126" t="s">
        <v>1358</v>
      </c>
      <c r="M1" s="4"/>
      <c r="N1" s="4"/>
      <c r="O1" s="4"/>
      <c r="P1" s="4"/>
      <c r="Q1" s="4"/>
      <c r="R1" s="4"/>
      <c r="S1" s="4"/>
      <c r="U1" s="1"/>
    </row>
    <row r="2" spans="1:26" ht="15.95" customHeight="1" outlineLevel="1">
      <c r="A2" s="3" t="s">
        <v>0</v>
      </c>
      <c r="B2" s="3" t="s">
        <v>1</v>
      </c>
      <c r="C2" s="3" t="s">
        <v>2</v>
      </c>
      <c r="E2" s="2" t="s">
        <v>3</v>
      </c>
      <c r="F2" s="2" t="s">
        <v>795</v>
      </c>
      <c r="G2" s="2" t="s">
        <v>25</v>
      </c>
      <c r="H2" s="2" t="s">
        <v>796</v>
      </c>
      <c r="I2" s="2" t="s">
        <v>125</v>
      </c>
      <c r="L2" s="1"/>
      <c r="M2" s="1"/>
      <c r="N2" s="1"/>
      <c r="O2" s="1"/>
      <c r="P2" s="1"/>
      <c r="Q2" s="1"/>
      <c r="R2" s="1"/>
      <c r="S2" s="1"/>
      <c r="U2" s="1"/>
    </row>
    <row r="3" spans="1:26" ht="65.25" customHeight="1">
      <c r="A3" s="371"/>
      <c r="B3" s="371"/>
      <c r="C3" s="371"/>
      <c r="E3" s="1"/>
      <c r="G3" s="1"/>
      <c r="H3" s="1"/>
      <c r="L3" s="1"/>
      <c r="M3" s="1"/>
      <c r="N3" s="1"/>
      <c r="O3" s="1"/>
      <c r="P3" s="1"/>
      <c r="Q3" s="1"/>
      <c r="R3" s="1"/>
      <c r="S3" s="1"/>
      <c r="U3" s="1"/>
    </row>
    <row r="4" spans="1:26" s="5" customFormat="1" ht="45" customHeight="1">
      <c r="A4" s="379" t="s">
        <v>116</v>
      </c>
      <c r="B4" s="379" t="s">
        <v>113</v>
      </c>
      <c r="C4" s="380" t="s">
        <v>1328</v>
      </c>
      <c r="D4" s="381" t="s">
        <v>1409</v>
      </c>
      <c r="E4" s="380" t="s">
        <v>1335</v>
      </c>
      <c r="F4" s="381" t="s">
        <v>1410</v>
      </c>
      <c r="G4" s="381" t="s">
        <v>1411</v>
      </c>
      <c r="H4" s="381" t="s">
        <v>1412</v>
      </c>
      <c r="I4" s="381" t="s">
        <v>1413</v>
      </c>
      <c r="J4" s="381" t="s">
        <v>1414</v>
      </c>
      <c r="K4" s="382" t="s">
        <v>1367</v>
      </c>
      <c r="L4" s="383" t="s">
        <v>1341</v>
      </c>
      <c r="M4" s="383" t="s">
        <v>1342</v>
      </c>
      <c r="N4" s="383" t="s">
        <v>1343</v>
      </c>
      <c r="O4" s="384" t="s">
        <v>1344</v>
      </c>
      <c r="P4" s="391" t="s">
        <v>1345</v>
      </c>
      <c r="Q4" s="391" t="s">
        <v>1346</v>
      </c>
      <c r="R4" s="384" t="s">
        <v>1347</v>
      </c>
      <c r="S4" s="384" t="s">
        <v>1348</v>
      </c>
      <c r="T4" s="31" t="s">
        <v>1349</v>
      </c>
      <c r="U4" s="31" t="s">
        <v>1350</v>
      </c>
      <c r="V4" s="31" t="s">
        <v>1351</v>
      </c>
    </row>
    <row r="5" spans="1:26" s="5" customFormat="1" ht="25.9" customHeight="1">
      <c r="A5" s="33" t="s">
        <v>116</v>
      </c>
      <c r="B5" s="33" t="s">
        <v>113</v>
      </c>
      <c r="C5" s="35" t="s">
        <v>5</v>
      </c>
      <c r="D5" s="34" t="s">
        <v>45</v>
      </c>
      <c r="E5" s="30" t="s">
        <v>41</v>
      </c>
      <c r="F5" s="35" t="s">
        <v>29</v>
      </c>
      <c r="G5" s="49" t="s">
        <v>209</v>
      </c>
      <c r="H5" s="49" t="s">
        <v>210</v>
      </c>
      <c r="I5" s="34" t="s">
        <v>46</v>
      </c>
      <c r="J5" s="34" t="s">
        <v>47</v>
      </c>
      <c r="K5" s="47" t="s">
        <v>193</v>
      </c>
      <c r="L5" s="36" t="s">
        <v>17</v>
      </c>
      <c r="M5" s="37" t="s">
        <v>18</v>
      </c>
      <c r="N5" s="37" t="s">
        <v>19</v>
      </c>
      <c r="O5" s="38" t="s">
        <v>32</v>
      </c>
      <c r="P5" s="307" t="s">
        <v>20</v>
      </c>
      <c r="Q5" s="307" t="s">
        <v>21</v>
      </c>
      <c r="R5" s="38" t="s">
        <v>22</v>
      </c>
      <c r="S5" s="39" t="s">
        <v>23</v>
      </c>
      <c r="T5" s="31" t="s">
        <v>24</v>
      </c>
      <c r="U5" s="31" t="s">
        <v>3</v>
      </c>
      <c r="V5" s="40" t="s">
        <v>25</v>
      </c>
    </row>
    <row r="6" spans="1:26" ht="15" customHeight="1">
      <c r="A6" s="306" t="str">
        <f>SoftWare[[#This Row],[Company]] &amp; "-" &amp; SoftWare[[#This Row],[Department]] &amp; "-" &amp; $I$2 &amp; "-" &amp; TEXT(COUNTIF(INDEX(SoftWare[Department],1):SoftWare[[#This Row],[Department]],SoftWare[[#This Row],[Department]]),"0000")</f>
        <v>CIRQUE-All-Software-0001</v>
      </c>
      <c r="B6" s="296"/>
      <c r="C6" s="13"/>
      <c r="D6" s="13"/>
      <c r="E6" s="16"/>
      <c r="F6" s="15"/>
      <c r="G6" s="296"/>
      <c r="H6" s="296"/>
      <c r="I6" s="13"/>
      <c r="J6" s="13"/>
      <c r="K6" s="12"/>
      <c r="L6" s="7"/>
      <c r="M6" s="7"/>
      <c r="N6" s="7"/>
      <c r="O6" s="68">
        <f>MAX(L6:N6)</f>
        <v>0</v>
      </c>
      <c r="P6" s="7"/>
      <c r="Q6" s="7"/>
      <c r="R6" s="10">
        <f>MAXA(P6-Q6,1)</f>
        <v>1</v>
      </c>
      <c r="S6" s="11">
        <f>O6*R6</f>
        <v>0</v>
      </c>
      <c r="T6" s="6"/>
      <c r="U6" s="298" t="str">
        <f>$F$2</f>
        <v>CIRQUE</v>
      </c>
      <c r="V6" s="298" t="str">
        <f>$H$2</f>
        <v>All</v>
      </c>
      <c r="X6" s="1"/>
      <c r="Y6" s="1"/>
      <c r="Z6" s="1"/>
    </row>
  </sheetData>
  <phoneticPr fontId="1"/>
  <conditionalFormatting sqref="S6">
    <cfRule type="cellIs" dxfId="5" priority="1" operator="greaterThan">
      <formula>6</formula>
    </cfRule>
    <cfRule type="cellIs" dxfId="4" priority="2" operator="between">
      <formula>4</formula>
      <formula>6</formula>
    </cfRule>
    <cfRule type="cellIs" dxfId="3" priority="3" operator="lessThan">
      <formula>4</formula>
    </cfRule>
  </conditionalFormatting>
  <dataValidations count="8">
    <dataValidation type="list" allowBlank="1" showInputMessage="1" showErrorMessage="1" sqref="B1 C2" xr:uid="{2F4D557D-A36E-44C0-8A7F-73D1EFBC54C8}">
      <formula1>Assets_Type</formula1>
    </dataValidation>
    <dataValidation type="list" allowBlank="1" showInputMessage="1" showErrorMessage="1" sqref="Q6:Q1048576 X7:X1048576 AA7:AA1048576" xr:uid="{B94F3C77-7051-42A1-94F8-E0F152CABDA7}">
      <formula1>Vulnerability_Class</formula1>
    </dataValidation>
    <dataValidation type="list" allowBlank="1" showInputMessage="1" showErrorMessage="1" sqref="P6:P1048576 W7:W1048576" xr:uid="{293AB24E-C5DA-468B-9D5C-894C61D87900}">
      <formula1>Threat_probality_Class</formula1>
    </dataValidation>
    <dataValidation type="list" allowBlank="1" showInputMessage="1" showErrorMessage="1" sqref="N6:N1048576" xr:uid="{7877E18C-7101-4395-9462-17CE1BF35A35}">
      <formula1>Availability</formula1>
    </dataValidation>
    <dataValidation type="list" allowBlank="1" showInputMessage="1" showErrorMessage="1" sqref="M6:M1048576 T7:T1048576" xr:uid="{755872B6-7DB4-496D-B59D-0D61E684CDA7}">
      <formula1>Integrity</formula1>
    </dataValidation>
    <dataValidation type="list" allowBlank="1" showInputMessage="1" showErrorMessage="1" sqref="L6:L1048576" xr:uid="{A13CAEB4-47C3-43A3-88ED-A6A7B55F6150}">
      <formula1>Confidentiality</formula1>
    </dataValidation>
    <dataValidation type="list" allowBlank="1" showInputMessage="1" showErrorMessage="1" sqref="K6:K1048576" xr:uid="{7AE38F10-8280-4651-A25A-5ED963FADC72}">
      <formula1>"Yes,No"</formula1>
    </dataValidation>
    <dataValidation type="list" allowBlank="1" showInputMessage="1" showErrorMessage="1" sqref="I6:I1048576" xr:uid="{F03C7950-B3B4-4982-A47F-C711ABF3ABB5}">
      <formula1>License_Type</formula1>
    </dataValidation>
  </dataValidations>
  <printOptions horizontalCentered="1"/>
  <pageMargins left="0.19685039370078741" right="0.19685039370078741" top="0.19685039370078741" bottom="0.19685039370078741" header="0.31496062992125984" footer="0.31496062992125984"/>
  <pageSetup paperSize="13" orientation="portrait" horizontalDpi="1200" verticalDpi="1200"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DB86E-F84B-4880-9528-44C980ED4A23}">
  <sheetPr codeName="Sheet7">
    <tabColor rgb="FF66CCFF"/>
  </sheetPr>
  <dimension ref="A1:Z78"/>
  <sheetViews>
    <sheetView tabSelected="1" workbookViewId="0">
      <pane xSplit="1" ySplit="5" topLeftCell="B63" activePane="bottomRight" state="frozen"/>
      <selection pane="topRight" activeCell="B1" sqref="B1"/>
      <selection pane="bottomLeft" activeCell="A8" sqref="A8"/>
      <selection pane="bottomRight" activeCell="E11" sqref="E11"/>
    </sheetView>
  </sheetViews>
  <sheetFormatPr defaultColWidth="2.375" defaultRowHeight="15.95" customHeight="1" outlineLevelRow="1"/>
  <cols>
    <col min="1" max="1" width="25.75" style="4" customWidth="1"/>
    <col min="2" max="2" width="9.25" style="4" bestFit="1" customWidth="1"/>
    <col min="3" max="3" width="38.25" style="4" customWidth="1"/>
    <col min="4" max="4" width="20" style="4" bestFit="1" customWidth="1"/>
    <col min="5" max="5" width="29.125" style="4" customWidth="1"/>
    <col min="6" max="7" width="36.25" style="4" customWidth="1"/>
    <col min="8" max="8" width="32.375" style="4" customWidth="1"/>
    <col min="9" max="9" width="15.625" style="4" bestFit="1" customWidth="1"/>
    <col min="10" max="13" width="19.75" customWidth="1"/>
    <col min="14" max="14" width="20.75" customWidth="1"/>
    <col min="15" max="15" width="15.875" customWidth="1"/>
    <col min="16" max="16" width="35.25" style="4" customWidth="1"/>
    <col min="17" max="17" width="21.25" style="4" customWidth="1"/>
    <col min="18" max="18" width="22.875" style="4" customWidth="1"/>
    <col min="19" max="19" width="23.5" style="4" customWidth="1"/>
    <col min="20" max="20" width="24.25" style="4" customWidth="1"/>
    <col min="21" max="21" width="29" style="4" customWidth="1"/>
    <col min="22" max="22" width="18.625" style="4" customWidth="1"/>
    <col min="23" max="23" width="19.5" style="4" customWidth="1"/>
    <col min="24" max="24" width="13.375" style="4" bestFit="1" customWidth="1"/>
    <col min="25" max="25" width="13.75" style="4" bestFit="1" customWidth="1"/>
    <col min="26" max="26" width="16.375" style="4" bestFit="1" customWidth="1"/>
    <col min="27" max="27" width="17.375" style="4" customWidth="1"/>
    <col min="28" max="28" width="21" style="4" bestFit="1" customWidth="1"/>
    <col min="29" max="29" width="19.5" style="4" bestFit="1" customWidth="1"/>
    <col min="30" max="32" width="13.75" style="4" customWidth="1"/>
    <col min="33" max="16384" width="2.375" style="4"/>
  </cols>
  <sheetData>
    <row r="1" spans="1:26" ht="21.2" customHeight="1">
      <c r="A1" s="100" t="s">
        <v>1415</v>
      </c>
      <c r="E1" s="100"/>
      <c r="J1" s="4"/>
      <c r="K1" s="4"/>
      <c r="L1" s="4" t="s">
        <v>1394</v>
      </c>
      <c r="M1" s="4"/>
      <c r="N1" s="4"/>
      <c r="O1" s="4"/>
    </row>
    <row r="2" spans="1:26" s="1" customFormat="1" ht="15.95" customHeight="1" outlineLevel="1">
      <c r="A2" s="3" t="s">
        <v>0</v>
      </c>
      <c r="B2" s="3" t="s">
        <v>1</v>
      </c>
      <c r="C2" s="3" t="s">
        <v>2</v>
      </c>
      <c r="D2" s="2"/>
      <c r="E2" s="2" t="s">
        <v>3</v>
      </c>
      <c r="F2" s="2" t="s">
        <v>795</v>
      </c>
      <c r="G2" s="2" t="s">
        <v>25</v>
      </c>
      <c r="H2" s="2" t="s">
        <v>796</v>
      </c>
      <c r="I2" s="2" t="s">
        <v>181</v>
      </c>
      <c r="J2" s="2" t="s">
        <v>181</v>
      </c>
    </row>
    <row r="3" spans="1:26" s="1" customFormat="1" ht="65.25" customHeight="1">
      <c r="A3" s="371"/>
      <c r="B3" s="371"/>
      <c r="C3" s="371"/>
      <c r="D3" s="372"/>
    </row>
    <row r="4" spans="1:26" s="25" customFormat="1" ht="48.6" customHeight="1">
      <c r="A4" s="374" t="s">
        <v>116</v>
      </c>
      <c r="B4" s="374" t="s">
        <v>113</v>
      </c>
      <c r="C4" s="374" t="s">
        <v>1416</v>
      </c>
      <c r="D4" s="374" t="s">
        <v>1417</v>
      </c>
      <c r="E4" s="374" t="s">
        <v>1418</v>
      </c>
      <c r="F4" s="374" t="s">
        <v>1419</v>
      </c>
      <c r="G4" s="374" t="s">
        <v>1420</v>
      </c>
      <c r="H4" s="374" t="s">
        <v>1421</v>
      </c>
      <c r="I4" s="374" t="s">
        <v>1422</v>
      </c>
      <c r="J4" s="374" t="s">
        <v>1423</v>
      </c>
      <c r="K4" s="313" t="s">
        <v>677</v>
      </c>
      <c r="L4" s="374" t="s">
        <v>1424</v>
      </c>
      <c r="M4" s="374" t="s">
        <v>1425</v>
      </c>
      <c r="N4" s="374" t="s">
        <v>1426</v>
      </c>
      <c r="O4" s="313" t="s">
        <v>1427</v>
      </c>
      <c r="P4" s="375" t="s">
        <v>1428</v>
      </c>
      <c r="Q4" s="375" t="s">
        <v>1429</v>
      </c>
      <c r="R4" s="374" t="s">
        <v>1430</v>
      </c>
      <c r="S4" s="375" t="s">
        <v>1431</v>
      </c>
      <c r="T4" s="375" t="s">
        <v>1432</v>
      </c>
      <c r="U4" s="374" t="s">
        <v>1433</v>
      </c>
      <c r="V4" s="375" t="s">
        <v>1434</v>
      </c>
      <c r="W4" s="374" t="s">
        <v>1435</v>
      </c>
      <c r="X4" s="323" t="s">
        <v>1349</v>
      </c>
      <c r="Y4" s="323" t="s">
        <v>1350</v>
      </c>
      <c r="Z4" s="323" t="s">
        <v>1351</v>
      </c>
    </row>
    <row r="5" spans="1:26" s="25" customFormat="1" ht="28.5">
      <c r="A5" s="50" t="s">
        <v>116</v>
      </c>
      <c r="B5" s="50" t="s">
        <v>128</v>
      </c>
      <c r="C5" s="51" t="s">
        <v>163</v>
      </c>
      <c r="D5" s="51" t="s">
        <v>789</v>
      </c>
      <c r="E5" s="51" t="s">
        <v>164</v>
      </c>
      <c r="F5" s="51" t="s">
        <v>165</v>
      </c>
      <c r="G5" s="51" t="s">
        <v>791</v>
      </c>
      <c r="H5" s="61" t="s">
        <v>166</v>
      </c>
      <c r="I5" s="51" t="s">
        <v>187</v>
      </c>
      <c r="J5" s="51" t="s">
        <v>167</v>
      </c>
      <c r="K5" s="313" t="s">
        <v>168</v>
      </c>
      <c r="L5" s="51" t="s">
        <v>169</v>
      </c>
      <c r="M5" s="61" t="s">
        <v>170</v>
      </c>
      <c r="N5" s="313" t="s">
        <v>171</v>
      </c>
      <c r="O5" s="313" t="s">
        <v>172</v>
      </c>
      <c r="P5" s="313" t="s">
        <v>173</v>
      </c>
      <c r="Q5" s="51" t="s">
        <v>174</v>
      </c>
      <c r="R5" s="51" t="s">
        <v>175</v>
      </c>
      <c r="S5" s="51" t="s">
        <v>176</v>
      </c>
      <c r="T5" s="61" t="s">
        <v>177</v>
      </c>
      <c r="U5" s="313" t="s">
        <v>178</v>
      </c>
      <c r="V5" s="61" t="s">
        <v>179</v>
      </c>
      <c r="W5" s="313" t="s">
        <v>180</v>
      </c>
      <c r="X5" s="59" t="s">
        <v>24</v>
      </c>
      <c r="Y5" s="59" t="s">
        <v>3</v>
      </c>
      <c r="Z5" s="59" t="s">
        <v>25</v>
      </c>
    </row>
    <row r="6" spans="1:26" ht="15.95" customHeight="1">
      <c r="A6" s="306" t="str">
        <f>Worker_List[[#This Row],[Company]] &amp; "-" &amp; Worker_List[[#This Row],[Department]] &amp; "-" &amp; $I$2 &amp; "-" &amp; TEXT(COUNTIF(INDEX(Worker_List[Department],1):Worker_List[[#This Row],[Department]],Worker_List[[#This Row],[Department]]),"0000")</f>
        <v>CIRQUE-All-Worker-0001</v>
      </c>
      <c r="B6" s="66"/>
      <c r="C6" s="7" t="s">
        <v>1198</v>
      </c>
      <c r="D6" s="28" t="s">
        <v>78</v>
      </c>
      <c r="E6" s="7" t="s">
        <v>896</v>
      </c>
      <c r="F6" s="46" t="s">
        <v>1280</v>
      </c>
      <c r="G6" s="328" t="str">
        <f>Worker_List[[#This Row],[Name of the person engaged]]&amp;"("&amp;Worker_List[[#This Row],[Email address of the person engaged]]&amp;")"</f>
        <v>Aaron Smith(BBBB.AAAA@ALPSALPINE.COM)</v>
      </c>
      <c r="H6" s="7" t="s">
        <v>1281</v>
      </c>
      <c r="I6" s="7" t="s">
        <v>1282</v>
      </c>
      <c r="J6" s="7"/>
      <c r="K6" s="7">
        <v>55153</v>
      </c>
      <c r="L6" s="7">
        <v>45512</v>
      </c>
      <c r="M6" s="7" t="s">
        <v>1283</v>
      </c>
      <c r="N6" s="7">
        <v>45512</v>
      </c>
      <c r="O6" s="7">
        <v>45512</v>
      </c>
      <c r="P6" s="66" t="s">
        <v>1090</v>
      </c>
      <c r="Q6" s="66" t="s">
        <v>934</v>
      </c>
      <c r="R6" s="66" t="s">
        <v>1302</v>
      </c>
      <c r="S6" s="66" t="s">
        <v>1324</v>
      </c>
      <c r="T6" s="28" t="s">
        <v>1324</v>
      </c>
      <c r="U6" s="28" t="s">
        <v>1324</v>
      </c>
      <c r="V6" s="28" t="s">
        <v>896</v>
      </c>
      <c r="W6" s="28" t="s">
        <v>1324</v>
      </c>
      <c r="X6" s="7"/>
      <c r="Y6" s="10" t="str">
        <f>$F$2</f>
        <v>CIRQUE</v>
      </c>
      <c r="Z6" s="10" t="str">
        <f>$H$2</f>
        <v>All</v>
      </c>
    </row>
    <row r="7" spans="1:26" ht="15.95" customHeight="1">
      <c r="A7" s="306" t="str">
        <f>Worker_List[[#This Row],[Company]] &amp; "-" &amp; Worker_List[[#This Row],[Department]] &amp; "-" &amp; $I$2 &amp; "-" &amp; TEXT(COUNTIF(INDEX(Worker_List[Department],1):Worker_List[[#This Row],[Department]],Worker_List[[#This Row],[Department]]),"0000")</f>
        <v>CIRQUE-All-Worker-0002</v>
      </c>
      <c r="B7" s="66"/>
      <c r="C7" s="7" t="s">
        <v>1198</v>
      </c>
      <c r="D7" s="28" t="s">
        <v>78</v>
      </c>
      <c r="E7" s="7" t="s">
        <v>1219</v>
      </c>
      <c r="F7" s="46"/>
      <c r="G7" s="366" t="str">
        <f>Worker_List[[#This Row],[Name of the person engaged]]&amp;"("&amp;Worker_List[[#This Row],[Email address of the person engaged]]&amp;")"</f>
        <v>Adam Hales()</v>
      </c>
      <c r="H7" s="7"/>
      <c r="I7" s="7"/>
      <c r="J7" s="7"/>
      <c r="K7" s="7">
        <v>55153</v>
      </c>
      <c r="L7" s="7">
        <v>45512</v>
      </c>
      <c r="M7" s="7" t="s">
        <v>1283</v>
      </c>
      <c r="N7" s="7">
        <v>45512</v>
      </c>
      <c r="O7" s="7">
        <v>45512</v>
      </c>
      <c r="P7" s="66" t="s">
        <v>1090</v>
      </c>
      <c r="Q7" s="66" t="s">
        <v>935</v>
      </c>
      <c r="R7" s="66" t="s">
        <v>1303</v>
      </c>
      <c r="S7" s="66" t="s">
        <v>1324</v>
      </c>
      <c r="T7" s="28" t="s">
        <v>1324</v>
      </c>
      <c r="U7" s="28" t="s">
        <v>1324</v>
      </c>
      <c r="V7" s="28" t="s">
        <v>1219</v>
      </c>
      <c r="W7" s="28" t="s">
        <v>1324</v>
      </c>
      <c r="X7" s="7"/>
      <c r="Y7" s="10" t="str">
        <f t="shared" ref="Y7:Y38" si="0">$F$2</f>
        <v>CIRQUE</v>
      </c>
      <c r="Z7" s="10" t="str">
        <f t="shared" ref="Z7:Z38" si="1">$H$2</f>
        <v>All</v>
      </c>
    </row>
    <row r="8" spans="1:26" ht="15.95" customHeight="1">
      <c r="A8" s="306" t="str">
        <f>Worker_List[[#This Row],[Company]] &amp; "-" &amp; Worker_List[[#This Row],[Department]] &amp; "-" &amp; $I$2 &amp; "-" &amp; TEXT(COUNTIF(INDEX(Worker_List[Department],1):Worker_List[[#This Row],[Department]],Worker_List[[#This Row],[Department]]),"0000")</f>
        <v>CIRQUE-All-Worker-0003</v>
      </c>
      <c r="B8" s="66"/>
      <c r="C8" s="7" t="s">
        <v>1198</v>
      </c>
      <c r="D8" s="28" t="s">
        <v>78</v>
      </c>
      <c r="E8" s="7" t="s">
        <v>1093</v>
      </c>
      <c r="F8" s="46"/>
      <c r="G8" s="366" t="str">
        <f>Worker_List[[#This Row],[Name of the person engaged]]&amp;"("&amp;Worker_List[[#This Row],[Email address of the person engaged]]&amp;")"</f>
        <v>Alan Liu()</v>
      </c>
      <c r="H8" s="7"/>
      <c r="I8" s="7"/>
      <c r="J8" s="7"/>
      <c r="K8" s="7">
        <v>55153</v>
      </c>
      <c r="L8" s="7">
        <v>45512</v>
      </c>
      <c r="M8" s="7" t="s">
        <v>1283</v>
      </c>
      <c r="N8" s="7">
        <v>45512</v>
      </c>
      <c r="O8" s="7">
        <v>45512</v>
      </c>
      <c r="P8" s="66" t="s">
        <v>1090</v>
      </c>
      <c r="Q8" s="66" t="s">
        <v>936</v>
      </c>
      <c r="R8" s="66" t="s">
        <v>1304</v>
      </c>
      <c r="S8" s="66" t="s">
        <v>1324</v>
      </c>
      <c r="T8" s="28" t="s">
        <v>1324</v>
      </c>
      <c r="U8" s="28" t="s">
        <v>1324</v>
      </c>
      <c r="V8" s="28" t="s">
        <v>1093</v>
      </c>
      <c r="W8" s="28" t="s">
        <v>1324</v>
      </c>
      <c r="X8" s="7"/>
      <c r="Y8" s="10" t="str">
        <f t="shared" si="0"/>
        <v>CIRQUE</v>
      </c>
      <c r="Z8" s="10" t="str">
        <f t="shared" si="1"/>
        <v>All</v>
      </c>
    </row>
    <row r="9" spans="1:26" ht="15.95" customHeight="1">
      <c r="A9" s="306" t="str">
        <f>Worker_List[[#This Row],[Company]] &amp; "-" &amp; Worker_List[[#This Row],[Department]] &amp; "-" &amp; $I$2 &amp; "-" &amp; TEXT(COUNTIF(INDEX(Worker_List[Department],1):Worker_List[[#This Row],[Department]],Worker_List[[#This Row],[Department]]),"0000")</f>
        <v>CIRQUE-All-Worker-0004</v>
      </c>
      <c r="B9" s="66"/>
      <c r="C9" s="7" t="s">
        <v>1198</v>
      </c>
      <c r="D9" s="28" t="s">
        <v>78</v>
      </c>
      <c r="E9" s="7" t="s">
        <v>1220</v>
      </c>
      <c r="F9" s="46"/>
      <c r="G9" s="366" t="str">
        <f>Worker_List[[#This Row],[Name of the person engaged]]&amp;"("&amp;Worker_List[[#This Row],[Email address of the person engaged]]&amp;")"</f>
        <v>Alan Stettler()</v>
      </c>
      <c r="H9" s="7"/>
      <c r="I9" s="7"/>
      <c r="J9" s="7"/>
      <c r="K9" s="7">
        <v>55153</v>
      </c>
      <c r="L9" s="7">
        <v>45512</v>
      </c>
      <c r="M9" s="7" t="s">
        <v>1283</v>
      </c>
      <c r="N9" s="7">
        <v>45512</v>
      </c>
      <c r="O9" s="7">
        <v>45512</v>
      </c>
      <c r="P9" s="66" t="s">
        <v>1090</v>
      </c>
      <c r="Q9" s="66">
        <v>0</v>
      </c>
      <c r="R9" s="66"/>
      <c r="S9" s="66" t="s">
        <v>1324</v>
      </c>
      <c r="T9" s="28" t="s">
        <v>1324</v>
      </c>
      <c r="U9" s="28" t="s">
        <v>1324</v>
      </c>
      <c r="V9" s="28" t="s">
        <v>1220</v>
      </c>
      <c r="W9" s="28" t="s">
        <v>1324</v>
      </c>
      <c r="X9" s="7"/>
      <c r="Y9" s="10" t="str">
        <f t="shared" si="0"/>
        <v>CIRQUE</v>
      </c>
      <c r="Z9" s="10" t="str">
        <f t="shared" si="1"/>
        <v>All</v>
      </c>
    </row>
    <row r="10" spans="1:26" ht="15.95" customHeight="1">
      <c r="A10" s="306" t="str">
        <f>Worker_List[[#This Row],[Company]] &amp; "-" &amp; Worker_List[[#This Row],[Department]] &amp; "-" &amp; $I$2 &amp; "-" &amp; TEXT(COUNTIF(INDEX(Worker_List[Department],1):Worker_List[[#This Row],[Department]],Worker_List[[#This Row],[Department]]),"0000")</f>
        <v>CIRQUE-All-Worker-0005</v>
      </c>
      <c r="B10" s="66"/>
      <c r="C10" s="7" t="s">
        <v>1198</v>
      </c>
      <c r="D10" s="28" t="s">
        <v>78</v>
      </c>
      <c r="E10" s="7" t="s">
        <v>1221</v>
      </c>
      <c r="F10" s="46"/>
      <c r="G10" s="366" t="str">
        <f>Worker_List[[#This Row],[Name of the person engaged]]&amp;"("&amp;Worker_List[[#This Row],[Email address of the person engaged]]&amp;")"</f>
        <v>Andy Hung()</v>
      </c>
      <c r="H10" s="7"/>
      <c r="I10" s="7"/>
      <c r="J10" s="7"/>
      <c r="K10" s="7">
        <v>55153</v>
      </c>
      <c r="L10" s="7">
        <v>45512</v>
      </c>
      <c r="M10" s="7" t="s">
        <v>1283</v>
      </c>
      <c r="N10" s="7">
        <v>45512</v>
      </c>
      <c r="O10" s="7">
        <v>45512</v>
      </c>
      <c r="P10" s="66" t="s">
        <v>1090</v>
      </c>
      <c r="Q10" s="66" t="s">
        <v>938</v>
      </c>
      <c r="R10" s="66" t="s">
        <v>1305</v>
      </c>
      <c r="S10" s="66" t="s">
        <v>1324</v>
      </c>
      <c r="T10" s="28" t="s">
        <v>1324</v>
      </c>
      <c r="U10" s="28" t="s">
        <v>1324</v>
      </c>
      <c r="V10" s="28" t="s">
        <v>1221</v>
      </c>
      <c r="W10" s="28" t="s">
        <v>1324</v>
      </c>
      <c r="X10" s="7"/>
      <c r="Y10" s="10" t="str">
        <f t="shared" si="0"/>
        <v>CIRQUE</v>
      </c>
      <c r="Z10" s="10" t="str">
        <f t="shared" si="1"/>
        <v>All</v>
      </c>
    </row>
    <row r="11" spans="1:26" ht="15.95" customHeight="1">
      <c r="A11" s="306" t="str">
        <f>Worker_List[[#This Row],[Company]] &amp; "-" &amp; Worker_List[[#This Row],[Department]] &amp; "-" &amp; $I$2 &amp; "-" &amp; TEXT(COUNTIF(INDEX(Worker_List[Department],1):Worker_List[[#This Row],[Department]],Worker_List[[#This Row],[Department]]),"0000")</f>
        <v>CIRQUE-All-Worker-0006</v>
      </c>
      <c r="B11" s="66"/>
      <c r="C11" s="7" t="s">
        <v>1198</v>
      </c>
      <c r="D11" s="28" t="s">
        <v>78</v>
      </c>
      <c r="E11" s="7" t="s">
        <v>1222</v>
      </c>
      <c r="F11" s="46"/>
      <c r="G11" s="366" t="str">
        <f>Worker_List[[#This Row],[Name of the person engaged]]&amp;"("&amp;Worker_List[[#This Row],[Email address of the person engaged]]&amp;")"</f>
        <v>Andy Wang()</v>
      </c>
      <c r="H11" s="7"/>
      <c r="I11" s="7"/>
      <c r="J11" s="7"/>
      <c r="K11" s="7">
        <v>55153</v>
      </c>
      <c r="L11" s="7">
        <v>45512</v>
      </c>
      <c r="M11" s="7" t="s">
        <v>1283</v>
      </c>
      <c r="N11" s="7">
        <v>45512</v>
      </c>
      <c r="O11" s="7">
        <v>45512</v>
      </c>
      <c r="P11" s="66" t="s">
        <v>1090</v>
      </c>
      <c r="Q11" s="66" t="s">
        <v>937</v>
      </c>
      <c r="R11" s="66" t="s">
        <v>1306</v>
      </c>
      <c r="S11" s="66" t="s">
        <v>1324</v>
      </c>
      <c r="T11" s="28" t="s">
        <v>1324</v>
      </c>
      <c r="U11" s="28" t="s">
        <v>1324</v>
      </c>
      <c r="V11" s="28" t="s">
        <v>1222</v>
      </c>
      <c r="W11" s="28" t="s">
        <v>1324</v>
      </c>
      <c r="X11" s="7"/>
      <c r="Y11" s="10" t="str">
        <f t="shared" si="0"/>
        <v>CIRQUE</v>
      </c>
      <c r="Z11" s="10" t="str">
        <f t="shared" si="1"/>
        <v>All</v>
      </c>
    </row>
    <row r="12" spans="1:26" ht="15.95" customHeight="1">
      <c r="A12" s="306" t="str">
        <f>Worker_List[[#This Row],[Company]] &amp; "-" &amp; Worker_List[[#This Row],[Department]] &amp; "-" &amp; $I$2 &amp; "-" &amp; TEXT(COUNTIF(INDEX(Worker_List[Department],1):Worker_List[[#This Row],[Department]],Worker_List[[#This Row],[Department]]),"0000")</f>
        <v>CIRQUE-All-Worker-0007</v>
      </c>
      <c r="B12" s="66"/>
      <c r="C12" s="7" t="s">
        <v>1198</v>
      </c>
      <c r="D12" s="28" t="s">
        <v>78</v>
      </c>
      <c r="E12" s="7" t="s">
        <v>894</v>
      </c>
      <c r="F12" s="46"/>
      <c r="G12" s="366" t="str">
        <f>Worker_List[[#This Row],[Name of the person engaged]]&amp;"("&amp;Worker_List[[#This Row],[Email address of the person engaged]]&amp;")"</f>
        <v>Bob Searle()</v>
      </c>
      <c r="H12" s="7"/>
      <c r="I12" s="7"/>
      <c r="J12" s="7"/>
      <c r="K12" s="7">
        <v>55153</v>
      </c>
      <c r="L12" s="7">
        <v>45512</v>
      </c>
      <c r="M12" s="7" t="s">
        <v>1283</v>
      </c>
      <c r="N12" s="7">
        <v>45512</v>
      </c>
      <c r="O12" s="7">
        <v>45512</v>
      </c>
      <c r="P12" s="66" t="s">
        <v>1090</v>
      </c>
      <c r="Q12" s="66" t="s">
        <v>940</v>
      </c>
      <c r="R12" s="66" t="s">
        <v>1307</v>
      </c>
      <c r="S12" s="66" t="s">
        <v>1324</v>
      </c>
      <c r="T12" s="28" t="s">
        <v>1324</v>
      </c>
      <c r="U12" s="28" t="s">
        <v>1324</v>
      </c>
      <c r="V12" s="28" t="s">
        <v>894</v>
      </c>
      <c r="W12" s="28" t="s">
        <v>1324</v>
      </c>
      <c r="X12" s="7"/>
      <c r="Y12" s="10" t="str">
        <f t="shared" si="0"/>
        <v>CIRQUE</v>
      </c>
      <c r="Z12" s="10" t="str">
        <f t="shared" si="1"/>
        <v>All</v>
      </c>
    </row>
    <row r="13" spans="1:26" ht="15.95" customHeight="1">
      <c r="A13" s="306" t="str">
        <f>Worker_List[[#This Row],[Company]] &amp; "-" &amp; Worker_List[[#This Row],[Department]] &amp; "-" &amp; $I$2 &amp; "-" &amp; TEXT(COUNTIF(INDEX(Worker_List[Department],1):Worker_List[[#This Row],[Department]],Worker_List[[#This Row],[Department]]),"0000")</f>
        <v>CIRQUE-All-Worker-0008</v>
      </c>
      <c r="B13" s="66"/>
      <c r="C13" s="7" t="s">
        <v>1198</v>
      </c>
      <c r="D13" s="28" t="s">
        <v>78</v>
      </c>
      <c r="E13" s="7" t="s">
        <v>892</v>
      </c>
      <c r="F13" s="46"/>
      <c r="G13" s="366" t="str">
        <f>Worker_List[[#This Row],[Name of the person engaged]]&amp;"("&amp;Worker_List[[#This Row],[Email address of the person engaged]]&amp;")"</f>
        <v>Brenda Milian()</v>
      </c>
      <c r="H13" s="7"/>
      <c r="I13" s="7"/>
      <c r="J13" s="7"/>
      <c r="K13" s="7">
        <v>55153</v>
      </c>
      <c r="L13" s="7">
        <v>45512</v>
      </c>
      <c r="M13" s="7" t="s">
        <v>1283</v>
      </c>
      <c r="N13" s="7">
        <v>45512</v>
      </c>
      <c r="O13" s="7">
        <v>45512</v>
      </c>
      <c r="P13" s="66" t="s">
        <v>1090</v>
      </c>
      <c r="Q13" s="66" t="s">
        <v>942</v>
      </c>
      <c r="R13" s="66" t="s">
        <v>1308</v>
      </c>
      <c r="S13" s="66" t="s">
        <v>1324</v>
      </c>
      <c r="T13" s="28" t="s">
        <v>1324</v>
      </c>
      <c r="U13" s="28" t="s">
        <v>1324</v>
      </c>
      <c r="V13" s="28" t="s">
        <v>892</v>
      </c>
      <c r="W13" s="28" t="s">
        <v>1324</v>
      </c>
      <c r="X13" s="7"/>
      <c r="Y13" s="10" t="str">
        <f t="shared" si="0"/>
        <v>CIRQUE</v>
      </c>
      <c r="Z13" s="10" t="str">
        <f t="shared" si="1"/>
        <v>All</v>
      </c>
    </row>
    <row r="14" spans="1:26" ht="15.95" customHeight="1">
      <c r="A14" s="306" t="str">
        <f>Worker_List[[#This Row],[Company]] &amp; "-" &amp; Worker_List[[#This Row],[Department]] &amp; "-" &amp; $I$2 &amp; "-" &amp; TEXT(COUNTIF(INDEX(Worker_List[Department],1):Worker_List[[#This Row],[Department]],Worker_List[[#This Row],[Department]]),"0000")</f>
        <v>CIRQUE-All-Worker-0009</v>
      </c>
      <c r="B14" s="66"/>
      <c r="C14" s="7" t="s">
        <v>1198</v>
      </c>
      <c r="D14" s="28" t="s">
        <v>78</v>
      </c>
      <c r="E14" s="7" t="s">
        <v>1223</v>
      </c>
      <c r="F14" s="46"/>
      <c r="G14" s="366" t="str">
        <f>Worker_List[[#This Row],[Name of the person engaged]]&amp;"("&amp;Worker_List[[#This Row],[Email address of the person engaged]]&amp;")"</f>
        <v>Brian Monson()</v>
      </c>
      <c r="H14" s="7"/>
      <c r="I14" s="7"/>
      <c r="J14" s="7"/>
      <c r="K14" s="7">
        <v>55153</v>
      </c>
      <c r="L14" s="7">
        <v>45512</v>
      </c>
      <c r="M14" s="7" t="s">
        <v>1283</v>
      </c>
      <c r="N14" s="7">
        <v>45512</v>
      </c>
      <c r="O14" s="7">
        <v>45512</v>
      </c>
      <c r="P14" s="66" t="s">
        <v>1090</v>
      </c>
      <c r="Q14" s="66" t="s">
        <v>939</v>
      </c>
      <c r="R14" s="66" t="s">
        <v>1309</v>
      </c>
      <c r="S14" s="66" t="s">
        <v>1324</v>
      </c>
      <c r="T14" s="28" t="s">
        <v>1324</v>
      </c>
      <c r="U14" s="28" t="s">
        <v>1324</v>
      </c>
      <c r="V14" s="28" t="s">
        <v>1223</v>
      </c>
      <c r="W14" s="28" t="s">
        <v>1324</v>
      </c>
      <c r="X14" s="7"/>
      <c r="Y14" s="10" t="str">
        <f t="shared" si="0"/>
        <v>CIRQUE</v>
      </c>
      <c r="Z14" s="10" t="str">
        <f t="shared" si="1"/>
        <v>All</v>
      </c>
    </row>
    <row r="15" spans="1:26" ht="15.95" customHeight="1">
      <c r="A15" s="306" t="str">
        <f>Worker_List[[#This Row],[Company]] &amp; "-" &amp; Worker_List[[#This Row],[Department]] &amp; "-" &amp; $I$2 &amp; "-" &amp; TEXT(COUNTIF(INDEX(Worker_List[Department],1):Worker_List[[#This Row],[Department]],Worker_List[[#This Row],[Department]]),"0000")</f>
        <v>CIRQUE-All-Worker-0010</v>
      </c>
      <c r="B15" s="66"/>
      <c r="C15" s="7" t="s">
        <v>1198</v>
      </c>
      <c r="D15" s="28" t="s">
        <v>78</v>
      </c>
      <c r="E15" s="7" t="s">
        <v>1224</v>
      </c>
      <c r="F15" s="46"/>
      <c r="G15" s="366" t="str">
        <f>Worker_List[[#This Row],[Name of the person engaged]]&amp;"("&amp;Worker_List[[#This Row],[Email address of the person engaged]]&amp;")"</f>
        <v>Brooks Clements()</v>
      </c>
      <c r="H15" s="7"/>
      <c r="I15" s="7"/>
      <c r="J15" s="7"/>
      <c r="K15" s="7">
        <v>55153</v>
      </c>
      <c r="L15" s="7">
        <v>45512</v>
      </c>
      <c r="M15" s="7" t="s">
        <v>1283</v>
      </c>
      <c r="N15" s="7">
        <v>45512</v>
      </c>
      <c r="O15" s="7">
        <v>45512</v>
      </c>
      <c r="P15" s="66" t="s">
        <v>1090</v>
      </c>
      <c r="Q15" s="66" t="s">
        <v>1284</v>
      </c>
      <c r="R15" s="66"/>
      <c r="S15" s="66" t="s">
        <v>1324</v>
      </c>
      <c r="T15" s="28" t="s">
        <v>1324</v>
      </c>
      <c r="U15" s="28" t="s">
        <v>1324</v>
      </c>
      <c r="V15" s="28" t="s">
        <v>1224</v>
      </c>
      <c r="W15" s="28" t="s">
        <v>1324</v>
      </c>
      <c r="X15" s="7"/>
      <c r="Y15" s="10" t="str">
        <f t="shared" si="0"/>
        <v>CIRQUE</v>
      </c>
      <c r="Z15" s="10" t="str">
        <f t="shared" si="1"/>
        <v>All</v>
      </c>
    </row>
    <row r="16" spans="1:26" ht="15.95" customHeight="1">
      <c r="A16" s="306" t="str">
        <f>Worker_List[[#This Row],[Company]] &amp; "-" &amp; Worker_List[[#This Row],[Department]] &amp; "-" &amp; $I$2 &amp; "-" &amp; TEXT(COUNTIF(INDEX(Worker_List[Department],1):Worker_List[[#This Row],[Department]],Worker_List[[#This Row],[Department]]),"0000")</f>
        <v>CIRQUE-All-Worker-0011</v>
      </c>
      <c r="B16" s="66"/>
      <c r="C16" s="7" t="s">
        <v>1198</v>
      </c>
      <c r="D16" s="28" t="s">
        <v>78</v>
      </c>
      <c r="E16" s="7" t="s">
        <v>1225</v>
      </c>
      <c r="F16" s="46"/>
      <c r="G16" s="366" t="str">
        <f>Worker_List[[#This Row],[Name of the person engaged]]&amp;"("&amp;Worker_List[[#This Row],[Email address of the person engaged]]&amp;")"</f>
        <v>Calista Chiang()</v>
      </c>
      <c r="H16" s="7"/>
      <c r="I16" s="7"/>
      <c r="J16" s="7"/>
      <c r="K16" s="7">
        <v>55153</v>
      </c>
      <c r="L16" s="7">
        <v>45512</v>
      </c>
      <c r="M16" s="7" t="s">
        <v>1283</v>
      </c>
      <c r="N16" s="7">
        <v>45512</v>
      </c>
      <c r="O16" s="7">
        <v>45512</v>
      </c>
      <c r="P16" s="66" t="s">
        <v>1090</v>
      </c>
      <c r="Q16" s="66" t="s">
        <v>943</v>
      </c>
      <c r="R16" s="66" t="s">
        <v>1310</v>
      </c>
      <c r="S16" s="66" t="s">
        <v>1324</v>
      </c>
      <c r="T16" s="28" t="s">
        <v>1324</v>
      </c>
      <c r="U16" s="28" t="s">
        <v>1324</v>
      </c>
      <c r="V16" s="28" t="s">
        <v>1225</v>
      </c>
      <c r="W16" s="28" t="s">
        <v>1324</v>
      </c>
      <c r="X16" s="7"/>
      <c r="Y16" s="10" t="str">
        <f t="shared" si="0"/>
        <v>CIRQUE</v>
      </c>
      <c r="Z16" s="10" t="str">
        <f t="shared" si="1"/>
        <v>All</v>
      </c>
    </row>
    <row r="17" spans="1:26" ht="15.95" customHeight="1">
      <c r="A17" s="306" t="str">
        <f>Worker_List[[#This Row],[Company]] &amp; "-" &amp; Worker_List[[#This Row],[Department]] &amp; "-" &amp; $I$2 &amp; "-" &amp; TEXT(COUNTIF(INDEX(Worker_List[Department],1):Worker_List[[#This Row],[Department]],Worker_List[[#This Row],[Department]]),"0000")</f>
        <v>CIRQUE-All-Worker-0012</v>
      </c>
      <c r="B17" s="66"/>
      <c r="C17" s="7" t="s">
        <v>1198</v>
      </c>
      <c r="D17" s="28" t="s">
        <v>78</v>
      </c>
      <c r="E17" s="7" t="s">
        <v>1090</v>
      </c>
      <c r="F17" s="46"/>
      <c r="G17" s="366" t="str">
        <f>Worker_List[[#This Row],[Name of the person engaged]]&amp;"("&amp;Worker_List[[#This Row],[Email address of the person engaged]]&amp;")"</f>
        <v>Chris Wren()</v>
      </c>
      <c r="H17" s="7"/>
      <c r="I17" s="7"/>
      <c r="J17" s="7"/>
      <c r="K17" s="7">
        <v>55153</v>
      </c>
      <c r="L17" s="7">
        <v>45512</v>
      </c>
      <c r="M17" s="7" t="s">
        <v>1283</v>
      </c>
      <c r="N17" s="7">
        <v>45512</v>
      </c>
      <c r="O17" s="7">
        <v>45512</v>
      </c>
      <c r="P17" s="66" t="s">
        <v>1090</v>
      </c>
      <c r="Q17" s="66" t="s">
        <v>946</v>
      </c>
      <c r="R17" s="66" t="s">
        <v>1311</v>
      </c>
      <c r="S17" s="66" t="s">
        <v>1324</v>
      </c>
      <c r="T17" s="28" t="s">
        <v>1324</v>
      </c>
      <c r="U17" s="28" t="s">
        <v>1324</v>
      </c>
      <c r="V17" s="28" t="s">
        <v>1090</v>
      </c>
      <c r="W17" s="28" t="s">
        <v>1324</v>
      </c>
      <c r="X17" s="7"/>
      <c r="Y17" s="10" t="str">
        <f t="shared" si="0"/>
        <v>CIRQUE</v>
      </c>
      <c r="Z17" s="10" t="str">
        <f t="shared" si="1"/>
        <v>All</v>
      </c>
    </row>
    <row r="18" spans="1:26" ht="15.95" customHeight="1">
      <c r="A18" s="306" t="str">
        <f>Worker_List[[#This Row],[Company]] &amp; "-" &amp; Worker_List[[#This Row],[Department]] &amp; "-" &amp; $I$2 &amp; "-" &amp; TEXT(COUNTIF(INDEX(Worker_List[Department],1):Worker_List[[#This Row],[Department]],Worker_List[[#This Row],[Department]]),"0000")</f>
        <v>CIRQUE-All-Worker-0013</v>
      </c>
      <c r="B18" s="66"/>
      <c r="C18" s="7" t="s">
        <v>1198</v>
      </c>
      <c r="D18" s="28" t="s">
        <v>78</v>
      </c>
      <c r="E18" s="7" t="s">
        <v>1226</v>
      </c>
      <c r="F18" s="46"/>
      <c r="G18" s="366" t="str">
        <f>Worker_List[[#This Row],[Name of the person engaged]]&amp;"("&amp;Worker_List[[#This Row],[Email address of the person engaged]]&amp;")"</f>
        <v>Christian Leishman()</v>
      </c>
      <c r="H18" s="7"/>
      <c r="I18" s="7"/>
      <c r="J18" s="7"/>
      <c r="K18" s="7">
        <v>55153</v>
      </c>
      <c r="L18" s="7">
        <v>45512</v>
      </c>
      <c r="M18" s="7" t="s">
        <v>1283</v>
      </c>
      <c r="N18" s="7">
        <v>45512</v>
      </c>
      <c r="O18" s="7">
        <v>45512</v>
      </c>
      <c r="P18" s="66" t="s">
        <v>1090</v>
      </c>
      <c r="Q18" s="66" t="s">
        <v>944</v>
      </c>
      <c r="R18" s="66"/>
      <c r="S18" s="66" t="s">
        <v>1324</v>
      </c>
      <c r="T18" s="28" t="s">
        <v>1324</v>
      </c>
      <c r="U18" s="28" t="s">
        <v>1324</v>
      </c>
      <c r="V18" s="28" t="s">
        <v>1226</v>
      </c>
      <c r="W18" s="28" t="s">
        <v>1324</v>
      </c>
      <c r="X18" s="7"/>
      <c r="Y18" s="10" t="str">
        <f t="shared" si="0"/>
        <v>CIRQUE</v>
      </c>
      <c r="Z18" s="10" t="str">
        <f t="shared" si="1"/>
        <v>All</v>
      </c>
    </row>
    <row r="19" spans="1:26" ht="15.95" customHeight="1">
      <c r="A19" s="306" t="str">
        <f>Worker_List[[#This Row],[Company]] &amp; "-" &amp; Worker_List[[#This Row],[Department]] &amp; "-" &amp; $I$2 &amp; "-" &amp; TEXT(COUNTIF(INDEX(Worker_List[Department],1):Worker_List[[#This Row],[Department]],Worker_List[[#This Row],[Department]]),"0000")</f>
        <v>CIRQUE-All-Worker-0014</v>
      </c>
      <c r="B19" s="66"/>
      <c r="C19" s="7" t="s">
        <v>1198</v>
      </c>
      <c r="D19" s="28" t="s">
        <v>78</v>
      </c>
      <c r="E19" s="7" t="s">
        <v>1227</v>
      </c>
      <c r="F19" s="46"/>
      <c r="G19" s="366" t="str">
        <f>Worker_List[[#This Row],[Name of the person engaged]]&amp;"("&amp;Worker_List[[#This Row],[Email address of the person engaged]]&amp;")"</f>
        <v>Chushan Heu()</v>
      </c>
      <c r="H19" s="7"/>
      <c r="I19" s="7"/>
      <c r="J19" s="7"/>
      <c r="K19" s="7">
        <v>55153</v>
      </c>
      <c r="L19" s="7">
        <v>45512</v>
      </c>
      <c r="M19" s="7" t="s">
        <v>1283</v>
      </c>
      <c r="N19" s="7">
        <v>45512</v>
      </c>
      <c r="O19" s="7">
        <v>45512</v>
      </c>
      <c r="P19" s="66" t="s">
        <v>1090</v>
      </c>
      <c r="Q19" s="66" t="s">
        <v>945</v>
      </c>
      <c r="R19" s="66"/>
      <c r="S19" s="66" t="s">
        <v>1324</v>
      </c>
      <c r="T19" s="28" t="s">
        <v>1324</v>
      </c>
      <c r="U19" s="28" t="s">
        <v>1324</v>
      </c>
      <c r="V19" s="28" t="s">
        <v>1227</v>
      </c>
      <c r="W19" s="28" t="s">
        <v>1324</v>
      </c>
      <c r="X19" s="7"/>
      <c r="Y19" s="10" t="str">
        <f t="shared" si="0"/>
        <v>CIRQUE</v>
      </c>
      <c r="Z19" s="10" t="str">
        <f t="shared" si="1"/>
        <v>All</v>
      </c>
    </row>
    <row r="20" spans="1:26" ht="15.95" customHeight="1">
      <c r="A20" s="306" t="str">
        <f>Worker_List[[#This Row],[Company]] &amp; "-" &amp; Worker_List[[#This Row],[Department]] &amp; "-" &amp; $I$2 &amp; "-" &amp; TEXT(COUNTIF(INDEX(Worker_List[Department],1):Worker_List[[#This Row],[Department]],Worker_List[[#This Row],[Department]]),"0000")</f>
        <v>CIRQUE-All-Worker-0015</v>
      </c>
      <c r="B20" s="66"/>
      <c r="C20" s="7" t="s">
        <v>1198</v>
      </c>
      <c r="D20" s="28" t="s">
        <v>78</v>
      </c>
      <c r="E20" s="7" t="s">
        <v>1228</v>
      </c>
      <c r="F20" s="46"/>
      <c r="G20" s="366" t="str">
        <f>Worker_List[[#This Row],[Name of the person engaged]]&amp;"("&amp;Worker_List[[#This Row],[Email address of the person engaged]]&amp;")"</f>
        <v>Clinton Poduska()</v>
      </c>
      <c r="H20" s="7"/>
      <c r="I20" s="7"/>
      <c r="J20" s="7"/>
      <c r="K20" s="7">
        <v>55153</v>
      </c>
      <c r="L20" s="7">
        <v>45512</v>
      </c>
      <c r="M20" s="7" t="s">
        <v>1283</v>
      </c>
      <c r="N20" s="7">
        <v>45512</v>
      </c>
      <c r="O20" s="7">
        <v>45512</v>
      </c>
      <c r="P20" s="66" t="s">
        <v>1090</v>
      </c>
      <c r="Q20" s="66" t="s">
        <v>1285</v>
      </c>
      <c r="R20" s="66"/>
      <c r="S20" s="66" t="s">
        <v>1324</v>
      </c>
      <c r="T20" s="28" t="s">
        <v>1324</v>
      </c>
      <c r="U20" s="28" t="s">
        <v>1324</v>
      </c>
      <c r="V20" s="28" t="s">
        <v>1228</v>
      </c>
      <c r="W20" s="28" t="s">
        <v>1324</v>
      </c>
      <c r="X20" s="7"/>
      <c r="Y20" s="10" t="str">
        <f t="shared" si="0"/>
        <v>CIRQUE</v>
      </c>
      <c r="Z20" s="10" t="str">
        <f t="shared" si="1"/>
        <v>All</v>
      </c>
    </row>
    <row r="21" spans="1:26" ht="15.95" customHeight="1">
      <c r="A21" s="306" t="str">
        <f>Worker_List[[#This Row],[Company]] &amp; "-" &amp; Worker_List[[#This Row],[Department]] &amp; "-" &amp; $I$2 &amp; "-" &amp; TEXT(COUNTIF(INDEX(Worker_List[Department],1):Worker_List[[#This Row],[Department]],Worker_List[[#This Row],[Department]]),"0000")</f>
        <v>CIRQUE-All-Worker-0016</v>
      </c>
      <c r="B21" s="66"/>
      <c r="C21" s="7" t="s">
        <v>1198</v>
      </c>
      <c r="D21" s="28" t="s">
        <v>78</v>
      </c>
      <c r="E21" s="7" t="s">
        <v>1229</v>
      </c>
      <c r="F21" s="46"/>
      <c r="G21" s="366" t="str">
        <f>Worker_List[[#This Row],[Name of the person engaged]]&amp;"("&amp;Worker_List[[#This Row],[Email address of the person engaged]]&amp;")"</f>
        <v>Colby Greenwood()</v>
      </c>
      <c r="H21" s="7"/>
      <c r="I21" s="7"/>
      <c r="J21" s="7"/>
      <c r="K21" s="7">
        <v>55153</v>
      </c>
      <c r="L21" s="7">
        <v>45512</v>
      </c>
      <c r="M21" s="7" t="s">
        <v>1283</v>
      </c>
      <c r="N21" s="7">
        <v>45512</v>
      </c>
      <c r="O21" s="7">
        <v>45512</v>
      </c>
      <c r="P21" s="66" t="s">
        <v>1090</v>
      </c>
      <c r="Q21" s="66" t="s">
        <v>952</v>
      </c>
      <c r="R21" s="66"/>
      <c r="S21" s="66" t="s">
        <v>1324</v>
      </c>
      <c r="T21" s="28" t="s">
        <v>1324</v>
      </c>
      <c r="U21" s="28" t="s">
        <v>1324</v>
      </c>
      <c r="V21" s="28" t="s">
        <v>1229</v>
      </c>
      <c r="W21" s="28" t="s">
        <v>1324</v>
      </c>
      <c r="X21" s="7"/>
      <c r="Y21" s="10" t="str">
        <f t="shared" si="0"/>
        <v>CIRQUE</v>
      </c>
      <c r="Z21" s="10" t="str">
        <f t="shared" si="1"/>
        <v>All</v>
      </c>
    </row>
    <row r="22" spans="1:26" ht="15.95" customHeight="1">
      <c r="A22" s="306" t="str">
        <f>Worker_List[[#This Row],[Company]] &amp; "-" &amp; Worker_List[[#This Row],[Department]] &amp; "-" &amp; $I$2 &amp; "-" &amp; TEXT(COUNTIF(INDEX(Worker_List[Department],1):Worker_List[[#This Row],[Department]],Worker_List[[#This Row],[Department]]),"0000")</f>
        <v>CIRQUE-All-Worker-0017</v>
      </c>
      <c r="B22" s="66"/>
      <c r="C22" s="7" t="s">
        <v>1198</v>
      </c>
      <c r="D22" s="28" t="s">
        <v>78</v>
      </c>
      <c r="E22" s="7" t="s">
        <v>1230</v>
      </c>
      <c r="F22" s="46"/>
      <c r="G22" s="366" t="str">
        <f>Worker_List[[#This Row],[Name of the person engaged]]&amp;"("&amp;Worker_List[[#This Row],[Email address of the person engaged]]&amp;")"</f>
        <v>Corwin Hudson()</v>
      </c>
      <c r="H22" s="7"/>
      <c r="I22" s="7"/>
      <c r="J22" s="7"/>
      <c r="K22" s="7">
        <v>55153</v>
      </c>
      <c r="L22" s="7">
        <v>45512</v>
      </c>
      <c r="M22" s="7" t="s">
        <v>1283</v>
      </c>
      <c r="N22" s="7">
        <v>45512</v>
      </c>
      <c r="O22" s="7">
        <v>45512</v>
      </c>
      <c r="P22" s="66" t="s">
        <v>1090</v>
      </c>
      <c r="Q22" s="66" t="s">
        <v>949</v>
      </c>
      <c r="R22" s="66"/>
      <c r="S22" s="66" t="s">
        <v>1324</v>
      </c>
      <c r="T22" s="28" t="s">
        <v>1324</v>
      </c>
      <c r="U22" s="28" t="s">
        <v>1324</v>
      </c>
      <c r="V22" s="28" t="s">
        <v>1230</v>
      </c>
      <c r="W22" s="28" t="s">
        <v>1324</v>
      </c>
      <c r="X22" s="7"/>
      <c r="Y22" s="10" t="str">
        <f t="shared" si="0"/>
        <v>CIRQUE</v>
      </c>
      <c r="Z22" s="10" t="str">
        <f t="shared" si="1"/>
        <v>All</v>
      </c>
    </row>
    <row r="23" spans="1:26" ht="15.95" customHeight="1">
      <c r="A23" s="306" t="str">
        <f>Worker_List[[#This Row],[Company]] &amp; "-" &amp; Worker_List[[#This Row],[Department]] &amp; "-" &amp; $I$2 &amp; "-" &amp; TEXT(COUNTIF(INDEX(Worker_List[Department],1):Worker_List[[#This Row],[Department]],Worker_List[[#This Row],[Department]]),"0000")</f>
        <v>CIRQUE-All-Worker-0018</v>
      </c>
      <c r="B23" s="66"/>
      <c r="C23" s="7" t="s">
        <v>1198</v>
      </c>
      <c r="D23" s="28" t="s">
        <v>78</v>
      </c>
      <c r="E23" s="7" t="s">
        <v>897</v>
      </c>
      <c r="F23" s="46"/>
      <c r="G23" s="366" t="str">
        <f>Worker_List[[#This Row],[Name of the person engaged]]&amp;"("&amp;Worker_List[[#This Row],[Email address of the person engaged]]&amp;")"</f>
        <v>Courtney Parsons()</v>
      </c>
      <c r="H23" s="7"/>
      <c r="I23" s="7"/>
      <c r="J23" s="7"/>
      <c r="K23" s="7">
        <v>55153</v>
      </c>
      <c r="L23" s="7">
        <v>45512</v>
      </c>
      <c r="M23" s="7" t="s">
        <v>1283</v>
      </c>
      <c r="N23" s="7">
        <v>45512</v>
      </c>
      <c r="O23" s="7">
        <v>45512</v>
      </c>
      <c r="P23" s="66" t="s">
        <v>1090</v>
      </c>
      <c r="Q23" s="66" t="s">
        <v>950</v>
      </c>
      <c r="R23" s="66"/>
      <c r="S23" s="66" t="s">
        <v>1324</v>
      </c>
      <c r="T23" s="28" t="s">
        <v>1324</v>
      </c>
      <c r="U23" s="28" t="s">
        <v>1324</v>
      </c>
      <c r="V23" s="28" t="s">
        <v>897</v>
      </c>
      <c r="W23" s="28" t="s">
        <v>1324</v>
      </c>
      <c r="X23" s="7"/>
      <c r="Y23" s="10" t="str">
        <f t="shared" si="0"/>
        <v>CIRQUE</v>
      </c>
      <c r="Z23" s="10" t="str">
        <f t="shared" si="1"/>
        <v>All</v>
      </c>
    </row>
    <row r="24" spans="1:26" ht="15.95" customHeight="1">
      <c r="A24" s="306" t="str">
        <f>Worker_List[[#This Row],[Company]] &amp; "-" &amp; Worker_List[[#This Row],[Department]] &amp; "-" &amp; $I$2 &amp; "-" &amp; TEXT(COUNTIF(INDEX(Worker_List[Department],1):Worker_List[[#This Row],[Department]],Worker_List[[#This Row],[Department]]),"0000")</f>
        <v>CIRQUE-All-Worker-0019</v>
      </c>
      <c r="B24" s="66"/>
      <c r="C24" s="7" t="s">
        <v>1198</v>
      </c>
      <c r="D24" s="28" t="s">
        <v>78</v>
      </c>
      <c r="E24" s="7" t="s">
        <v>1231</v>
      </c>
      <c r="F24" s="46"/>
      <c r="G24" s="366" t="str">
        <f>Worker_List[[#This Row],[Name of the person engaged]]&amp;"("&amp;Worker_List[[#This Row],[Email address of the person engaged]]&amp;")"</f>
        <v>Dan Ferguson()</v>
      </c>
      <c r="H24" s="7"/>
      <c r="I24" s="7"/>
      <c r="J24" s="7"/>
      <c r="K24" s="7">
        <v>55153</v>
      </c>
      <c r="L24" s="7">
        <v>45512</v>
      </c>
      <c r="M24" s="7" t="s">
        <v>1283</v>
      </c>
      <c r="N24" s="7">
        <v>45512</v>
      </c>
      <c r="O24" s="7">
        <v>45512</v>
      </c>
      <c r="P24" s="66" t="s">
        <v>1090</v>
      </c>
      <c r="Q24" s="66" t="s">
        <v>951</v>
      </c>
      <c r="R24" s="66" t="s">
        <v>1312</v>
      </c>
      <c r="S24" s="66" t="s">
        <v>1324</v>
      </c>
      <c r="T24" s="28" t="s">
        <v>1324</v>
      </c>
      <c r="U24" s="28" t="s">
        <v>1324</v>
      </c>
      <c r="V24" s="28" t="s">
        <v>1231</v>
      </c>
      <c r="W24" s="28" t="s">
        <v>1324</v>
      </c>
      <c r="X24" s="7"/>
      <c r="Y24" s="10" t="str">
        <f t="shared" si="0"/>
        <v>CIRQUE</v>
      </c>
      <c r="Z24" s="10" t="str">
        <f t="shared" si="1"/>
        <v>All</v>
      </c>
    </row>
    <row r="25" spans="1:26" ht="15.95" customHeight="1">
      <c r="A25" s="306" t="str">
        <f>Worker_List[[#This Row],[Company]] &amp; "-" &amp; Worker_List[[#This Row],[Department]] &amp; "-" &amp; $I$2 &amp; "-" &amp; TEXT(COUNTIF(INDEX(Worker_List[Department],1):Worker_List[[#This Row],[Department]],Worker_List[[#This Row],[Department]]),"0000")</f>
        <v>CIRQUE-All-Worker-0020</v>
      </c>
      <c r="B25" s="66"/>
      <c r="C25" s="7" t="s">
        <v>1198</v>
      </c>
      <c r="D25" s="28" t="s">
        <v>78</v>
      </c>
      <c r="E25" s="7" t="s">
        <v>1232</v>
      </c>
      <c r="F25" s="46"/>
      <c r="G25" s="366" t="str">
        <f>Worker_List[[#This Row],[Name of the person engaged]]&amp;"("&amp;Worker_List[[#This Row],[Email address of the person engaged]]&amp;")"</f>
        <v>David Orr()</v>
      </c>
      <c r="H25" s="7"/>
      <c r="I25" s="7"/>
      <c r="J25" s="7"/>
      <c r="K25" s="7">
        <v>55153</v>
      </c>
      <c r="L25" s="7">
        <v>45512</v>
      </c>
      <c r="M25" s="7" t="s">
        <v>1283</v>
      </c>
      <c r="N25" s="7">
        <v>45512</v>
      </c>
      <c r="O25" s="7">
        <v>45512</v>
      </c>
      <c r="P25" s="66" t="s">
        <v>1090</v>
      </c>
      <c r="Q25" s="66" t="s">
        <v>953</v>
      </c>
      <c r="R25" s="66"/>
      <c r="S25" s="66" t="s">
        <v>1324</v>
      </c>
      <c r="T25" s="28" t="s">
        <v>1324</v>
      </c>
      <c r="U25" s="28" t="s">
        <v>1324</v>
      </c>
      <c r="V25" s="28" t="s">
        <v>1232</v>
      </c>
      <c r="W25" s="28" t="s">
        <v>1324</v>
      </c>
      <c r="X25" s="7"/>
      <c r="Y25" s="10" t="str">
        <f t="shared" si="0"/>
        <v>CIRQUE</v>
      </c>
      <c r="Z25" s="10" t="str">
        <f t="shared" si="1"/>
        <v>All</v>
      </c>
    </row>
    <row r="26" spans="1:26" ht="15.95" customHeight="1">
      <c r="A26" s="306" t="str">
        <f>Worker_List[[#This Row],[Company]] &amp; "-" &amp; Worker_List[[#This Row],[Department]] &amp; "-" &amp; $I$2 &amp; "-" &amp; TEXT(COUNTIF(INDEX(Worker_List[Department],1):Worker_List[[#This Row],[Department]],Worker_List[[#This Row],[Department]]),"0000")</f>
        <v>CIRQUE-All-Worker-0021</v>
      </c>
      <c r="B26" s="66"/>
      <c r="C26" s="7" t="s">
        <v>1198</v>
      </c>
      <c r="D26" s="28" t="s">
        <v>78</v>
      </c>
      <c r="E26" s="7" t="s">
        <v>1233</v>
      </c>
      <c r="F26" s="46"/>
      <c r="G26" s="366" t="str">
        <f>Worker_List[[#This Row],[Name of the person engaged]]&amp;"("&amp;Worker_List[[#This Row],[Email address of the person engaged]]&amp;")"</f>
        <v>David Taylor()</v>
      </c>
      <c r="H26" s="7"/>
      <c r="I26" s="7"/>
      <c r="J26" s="7"/>
      <c r="K26" s="7">
        <v>55153</v>
      </c>
      <c r="L26" s="7">
        <v>45512</v>
      </c>
      <c r="M26" s="7" t="s">
        <v>1283</v>
      </c>
      <c r="N26" s="7">
        <v>45512</v>
      </c>
      <c r="O26" s="7">
        <v>45512</v>
      </c>
      <c r="P26" s="66" t="s">
        <v>1090</v>
      </c>
      <c r="Q26" s="66" t="s">
        <v>956</v>
      </c>
      <c r="R26" s="66"/>
      <c r="S26" s="66" t="s">
        <v>1324</v>
      </c>
      <c r="T26" s="28" t="s">
        <v>1324</v>
      </c>
      <c r="U26" s="28" t="s">
        <v>1324</v>
      </c>
      <c r="V26" s="28" t="s">
        <v>1233</v>
      </c>
      <c r="W26" s="28" t="s">
        <v>1324</v>
      </c>
      <c r="X26" s="7"/>
      <c r="Y26" s="10" t="str">
        <f t="shared" si="0"/>
        <v>CIRQUE</v>
      </c>
      <c r="Z26" s="10" t="str">
        <f t="shared" si="1"/>
        <v>All</v>
      </c>
    </row>
    <row r="27" spans="1:26" ht="15.95" customHeight="1">
      <c r="A27" s="306" t="str">
        <f>Worker_List[[#This Row],[Company]] &amp; "-" &amp; Worker_List[[#This Row],[Department]] &amp; "-" &amp; $I$2 &amp; "-" &amp; TEXT(COUNTIF(INDEX(Worker_List[Department],1):Worker_List[[#This Row],[Department]],Worker_List[[#This Row],[Department]]),"0000")</f>
        <v>CIRQUE-All-Worker-0022</v>
      </c>
      <c r="B27" s="66"/>
      <c r="C27" s="7" t="s">
        <v>1198</v>
      </c>
      <c r="D27" s="28" t="s">
        <v>78</v>
      </c>
      <c r="E27" s="7" t="s">
        <v>1234</v>
      </c>
      <c r="F27" s="46"/>
      <c r="G27" s="366" t="str">
        <f>Worker_List[[#This Row],[Name of the person engaged]]&amp;"("&amp;Worker_List[[#This Row],[Email address of the person engaged]]&amp;")"</f>
        <v>Donsen Su()</v>
      </c>
      <c r="H27" s="7"/>
      <c r="I27" s="7"/>
      <c r="J27" s="7"/>
      <c r="K27" s="7">
        <v>55153</v>
      </c>
      <c r="L27" s="7">
        <v>45512</v>
      </c>
      <c r="M27" s="7" t="s">
        <v>1283</v>
      </c>
      <c r="N27" s="7">
        <v>45512</v>
      </c>
      <c r="O27" s="7">
        <v>45512</v>
      </c>
      <c r="P27" s="66" t="s">
        <v>1090</v>
      </c>
      <c r="Q27" s="66" t="s">
        <v>954</v>
      </c>
      <c r="R27" s="66" t="s">
        <v>1313</v>
      </c>
      <c r="S27" s="66" t="s">
        <v>1324</v>
      </c>
      <c r="T27" s="28" t="s">
        <v>1324</v>
      </c>
      <c r="U27" s="28" t="s">
        <v>1324</v>
      </c>
      <c r="V27" s="28" t="s">
        <v>1234</v>
      </c>
      <c r="W27" s="28" t="s">
        <v>1324</v>
      </c>
      <c r="X27" s="7"/>
      <c r="Y27" s="10" t="str">
        <f t="shared" si="0"/>
        <v>CIRQUE</v>
      </c>
      <c r="Z27" s="10" t="str">
        <f t="shared" si="1"/>
        <v>All</v>
      </c>
    </row>
    <row r="28" spans="1:26" ht="15.95" customHeight="1">
      <c r="A28" s="306" t="str">
        <f>Worker_List[[#This Row],[Company]] &amp; "-" &amp; Worker_List[[#This Row],[Department]] &amp; "-" &amp; $I$2 &amp; "-" &amp; TEXT(COUNTIF(INDEX(Worker_List[Department],1):Worker_List[[#This Row],[Department]],Worker_List[[#This Row],[Department]]),"0000")</f>
        <v>CIRQUE-All-Worker-0023</v>
      </c>
      <c r="B28" s="66"/>
      <c r="C28" s="7" t="s">
        <v>1198</v>
      </c>
      <c r="D28" s="28" t="s">
        <v>78</v>
      </c>
      <c r="E28" s="7" t="s">
        <v>1235</v>
      </c>
      <c r="F28" s="46"/>
      <c r="G28" s="366" t="str">
        <f>Worker_List[[#This Row],[Name of the person engaged]]&amp;"("&amp;Worker_List[[#This Row],[Email address of the person engaged]]&amp;")"</f>
        <v>Douglas A. Steck()</v>
      </c>
      <c r="H28" s="7"/>
      <c r="I28" s="7"/>
      <c r="J28" s="7"/>
      <c r="K28" s="7">
        <v>55153</v>
      </c>
      <c r="L28" s="7">
        <v>45512</v>
      </c>
      <c r="M28" s="7" t="s">
        <v>1283</v>
      </c>
      <c r="N28" s="7">
        <v>45512</v>
      </c>
      <c r="O28" s="7">
        <v>45512</v>
      </c>
      <c r="P28" s="66" t="s">
        <v>1090</v>
      </c>
      <c r="Q28" s="66" t="s">
        <v>955</v>
      </c>
      <c r="R28" s="66"/>
      <c r="S28" s="66" t="s">
        <v>1324</v>
      </c>
      <c r="T28" s="28" t="s">
        <v>1324</v>
      </c>
      <c r="U28" s="28" t="s">
        <v>1324</v>
      </c>
      <c r="V28" s="28" t="s">
        <v>1235</v>
      </c>
      <c r="W28" s="28" t="s">
        <v>1324</v>
      </c>
      <c r="X28" s="7"/>
      <c r="Y28" s="10" t="str">
        <f t="shared" si="0"/>
        <v>CIRQUE</v>
      </c>
      <c r="Z28" s="10" t="str">
        <f t="shared" si="1"/>
        <v>All</v>
      </c>
    </row>
    <row r="29" spans="1:26" ht="15.95" customHeight="1">
      <c r="A29" s="306" t="str">
        <f>Worker_List[[#This Row],[Company]] &amp; "-" &amp; Worker_List[[#This Row],[Department]] &amp; "-" &amp; $I$2 &amp; "-" &amp; TEXT(COUNTIF(INDEX(Worker_List[Department],1):Worker_List[[#This Row],[Department]],Worker_List[[#This Row],[Department]]),"0000")</f>
        <v>CIRQUE-All-Worker-0024</v>
      </c>
      <c r="B29" s="66"/>
      <c r="C29" s="7" t="s">
        <v>1198</v>
      </c>
      <c r="D29" s="28" t="s">
        <v>78</v>
      </c>
      <c r="E29" s="7" t="s">
        <v>1236</v>
      </c>
      <c r="F29" s="46"/>
      <c r="G29" s="366" t="str">
        <f>Worker_List[[#This Row],[Name of the person engaged]]&amp;"("&amp;Worker_List[[#This Row],[Email address of the person engaged]]&amp;")"</f>
        <v>Emma Chen()</v>
      </c>
      <c r="H29" s="7"/>
      <c r="I29" s="7"/>
      <c r="J29" s="7"/>
      <c r="K29" s="7">
        <v>55153</v>
      </c>
      <c r="L29" s="7">
        <v>45512</v>
      </c>
      <c r="M29" s="7" t="s">
        <v>1283</v>
      </c>
      <c r="N29" s="7">
        <v>45512</v>
      </c>
      <c r="O29" s="7">
        <v>45512</v>
      </c>
      <c r="P29" s="66" t="s">
        <v>1090</v>
      </c>
      <c r="Q29" s="66" t="s">
        <v>957</v>
      </c>
      <c r="R29" s="66" t="s">
        <v>1314</v>
      </c>
      <c r="S29" s="66" t="s">
        <v>1324</v>
      </c>
      <c r="T29" s="28" t="s">
        <v>1324</v>
      </c>
      <c r="U29" s="28" t="s">
        <v>1324</v>
      </c>
      <c r="V29" s="28" t="s">
        <v>1236</v>
      </c>
      <c r="W29" s="28" t="s">
        <v>1324</v>
      </c>
      <c r="X29" s="7"/>
      <c r="Y29" s="10" t="str">
        <f t="shared" si="0"/>
        <v>CIRQUE</v>
      </c>
      <c r="Z29" s="10" t="str">
        <f t="shared" si="1"/>
        <v>All</v>
      </c>
    </row>
    <row r="30" spans="1:26" ht="15.95" customHeight="1">
      <c r="A30" s="306" t="str">
        <f>Worker_List[[#This Row],[Company]] &amp; "-" &amp; Worker_List[[#This Row],[Department]] &amp; "-" &amp; $I$2 &amp; "-" &amp; TEXT(COUNTIF(INDEX(Worker_List[Department],1):Worker_List[[#This Row],[Department]],Worker_List[[#This Row],[Department]]),"0000")</f>
        <v>CIRQUE-All-Worker-0025</v>
      </c>
      <c r="B30" s="66"/>
      <c r="C30" s="7" t="s">
        <v>1198</v>
      </c>
      <c r="D30" s="28" t="s">
        <v>78</v>
      </c>
      <c r="E30" s="7" t="s">
        <v>1237</v>
      </c>
      <c r="F30" s="46"/>
      <c r="G30" s="366" t="str">
        <f>Worker_List[[#This Row],[Name of the person engaged]]&amp;"("&amp;Worker_List[[#This Row],[Email address of the person engaged]]&amp;")"</f>
        <v>Eric Peterson()</v>
      </c>
      <c r="H30" s="7"/>
      <c r="I30" s="7"/>
      <c r="J30" s="7"/>
      <c r="K30" s="7">
        <v>55153</v>
      </c>
      <c r="L30" s="7">
        <v>45512</v>
      </c>
      <c r="M30" s="7" t="s">
        <v>1283</v>
      </c>
      <c r="N30" s="7">
        <v>45512</v>
      </c>
      <c r="O30" s="7">
        <v>45512</v>
      </c>
      <c r="P30" s="66" t="s">
        <v>1090</v>
      </c>
      <c r="Q30" s="66" t="s">
        <v>958</v>
      </c>
      <c r="R30" s="66"/>
      <c r="S30" s="66" t="s">
        <v>1324</v>
      </c>
      <c r="T30" s="28" t="s">
        <v>1324</v>
      </c>
      <c r="U30" s="28" t="s">
        <v>1324</v>
      </c>
      <c r="V30" s="28" t="s">
        <v>1237</v>
      </c>
      <c r="W30" s="28" t="s">
        <v>1324</v>
      </c>
      <c r="X30" s="7"/>
      <c r="Y30" s="10" t="str">
        <f t="shared" si="0"/>
        <v>CIRQUE</v>
      </c>
      <c r="Z30" s="10" t="str">
        <f t="shared" si="1"/>
        <v>All</v>
      </c>
    </row>
    <row r="31" spans="1:26" ht="15.95" customHeight="1">
      <c r="A31" s="306" t="str">
        <f>Worker_List[[#This Row],[Company]] &amp; "-" &amp; Worker_List[[#This Row],[Department]] &amp; "-" &amp; $I$2 &amp; "-" &amp; TEXT(COUNTIF(INDEX(Worker_List[Department],1):Worker_List[[#This Row],[Department]],Worker_List[[#This Row],[Department]]),"0000")</f>
        <v>CIRQUE-All-Worker-0026</v>
      </c>
      <c r="B31" s="66"/>
      <c r="C31" s="7" t="s">
        <v>1198</v>
      </c>
      <c r="D31" s="28" t="s">
        <v>78</v>
      </c>
      <c r="E31" s="7" t="s">
        <v>1238</v>
      </c>
      <c r="F31" s="46"/>
      <c r="G31" s="366" t="str">
        <f>Worker_List[[#This Row],[Name of the person engaged]]&amp;"("&amp;Worker_List[[#This Row],[Email address of the person engaged]]&amp;")"</f>
        <v>Ethan Sturm()</v>
      </c>
      <c r="H31" s="7"/>
      <c r="I31" s="7"/>
      <c r="J31" s="7"/>
      <c r="K31" s="7">
        <v>55153</v>
      </c>
      <c r="L31" s="7">
        <v>45512</v>
      </c>
      <c r="M31" s="7" t="s">
        <v>1283</v>
      </c>
      <c r="N31" s="7">
        <v>45512</v>
      </c>
      <c r="O31" s="7">
        <v>45512</v>
      </c>
      <c r="P31" s="66" t="s">
        <v>1090</v>
      </c>
      <c r="Q31" s="66" t="s">
        <v>1286</v>
      </c>
      <c r="R31" s="66" t="s">
        <v>1315</v>
      </c>
      <c r="S31" s="66" t="s">
        <v>1324</v>
      </c>
      <c r="T31" s="28" t="s">
        <v>1324</v>
      </c>
      <c r="U31" s="28" t="s">
        <v>1324</v>
      </c>
      <c r="V31" s="28" t="s">
        <v>1238</v>
      </c>
      <c r="W31" s="28" t="s">
        <v>1324</v>
      </c>
      <c r="X31" s="7"/>
      <c r="Y31" s="10" t="str">
        <f t="shared" si="0"/>
        <v>CIRQUE</v>
      </c>
      <c r="Z31" s="10" t="str">
        <f t="shared" si="1"/>
        <v>All</v>
      </c>
    </row>
    <row r="32" spans="1:26" ht="15.95" customHeight="1">
      <c r="A32" s="306" t="str">
        <f>Worker_List[[#This Row],[Company]] &amp; "-" &amp; Worker_List[[#This Row],[Department]] &amp; "-" &amp; $I$2 &amp; "-" &amp; TEXT(COUNTIF(INDEX(Worker_List[Department],1):Worker_List[[#This Row],[Department]],Worker_List[[#This Row],[Department]]),"0000")</f>
        <v>CIRQUE-All-Worker-0027</v>
      </c>
      <c r="B32" s="66"/>
      <c r="C32" s="7" t="s">
        <v>1198</v>
      </c>
      <c r="D32" s="28" t="s">
        <v>78</v>
      </c>
      <c r="E32" s="7" t="s">
        <v>1239</v>
      </c>
      <c r="F32" s="46"/>
      <c r="G32" s="366" t="str">
        <f>Worker_List[[#This Row],[Name of the person engaged]]&amp;"("&amp;Worker_List[[#This Row],[Email address of the person engaged]]&amp;")"</f>
        <v>Frank Chen()</v>
      </c>
      <c r="H32" s="7"/>
      <c r="I32" s="7"/>
      <c r="J32" s="7"/>
      <c r="K32" s="7">
        <v>55153</v>
      </c>
      <c r="L32" s="7">
        <v>45512</v>
      </c>
      <c r="M32" s="7" t="s">
        <v>1283</v>
      </c>
      <c r="N32" s="7">
        <v>45512</v>
      </c>
      <c r="O32" s="7">
        <v>45512</v>
      </c>
      <c r="P32" s="66" t="s">
        <v>1090</v>
      </c>
      <c r="Q32" s="66" t="s">
        <v>959</v>
      </c>
      <c r="R32" s="66" t="s">
        <v>1316</v>
      </c>
      <c r="S32" s="66" t="s">
        <v>1324</v>
      </c>
      <c r="T32" s="28" t="s">
        <v>1324</v>
      </c>
      <c r="U32" s="28" t="s">
        <v>1324</v>
      </c>
      <c r="V32" s="28" t="s">
        <v>1239</v>
      </c>
      <c r="W32" s="28" t="s">
        <v>1324</v>
      </c>
      <c r="X32" s="7"/>
      <c r="Y32" s="10" t="str">
        <f t="shared" si="0"/>
        <v>CIRQUE</v>
      </c>
      <c r="Z32" s="10" t="str">
        <f t="shared" si="1"/>
        <v>All</v>
      </c>
    </row>
    <row r="33" spans="1:26" ht="15.95" customHeight="1">
      <c r="A33" s="306" t="str">
        <f>Worker_List[[#This Row],[Company]] &amp; "-" &amp; Worker_List[[#This Row],[Department]] &amp; "-" &amp; $I$2 &amp; "-" &amp; TEXT(COUNTIF(INDEX(Worker_List[Department],1):Worker_List[[#This Row],[Department]],Worker_List[[#This Row],[Department]]),"0000")</f>
        <v>CIRQUE-All-Worker-0028</v>
      </c>
      <c r="B33" s="66"/>
      <c r="C33" s="7" t="s">
        <v>1198</v>
      </c>
      <c r="D33" s="28" t="s">
        <v>78</v>
      </c>
      <c r="E33" s="7" t="s">
        <v>1240</v>
      </c>
      <c r="F33" s="46"/>
      <c r="G33" s="366" t="str">
        <f>Worker_List[[#This Row],[Name of the person engaged]]&amp;"("&amp;Worker_List[[#This Row],[Email address of the person engaged]]&amp;")"</f>
        <v>Gao Yang()</v>
      </c>
      <c r="H33" s="7"/>
      <c r="I33" s="7"/>
      <c r="J33" s="7"/>
      <c r="K33" s="7">
        <v>55153</v>
      </c>
      <c r="L33" s="7">
        <v>45512</v>
      </c>
      <c r="M33" s="7" t="s">
        <v>1283</v>
      </c>
      <c r="N33" s="7">
        <v>45512</v>
      </c>
      <c r="O33" s="7">
        <v>45512</v>
      </c>
      <c r="P33" s="66" t="s">
        <v>1090</v>
      </c>
      <c r="Q33" s="66" t="s">
        <v>1287</v>
      </c>
      <c r="R33" s="66"/>
      <c r="S33" s="66" t="s">
        <v>1324</v>
      </c>
      <c r="T33" s="28" t="s">
        <v>1324</v>
      </c>
      <c r="U33" s="28" t="s">
        <v>1324</v>
      </c>
      <c r="V33" s="28" t="s">
        <v>1240</v>
      </c>
      <c r="W33" s="28" t="s">
        <v>1324</v>
      </c>
      <c r="X33" s="7"/>
      <c r="Y33" s="10" t="str">
        <f t="shared" si="0"/>
        <v>CIRQUE</v>
      </c>
      <c r="Z33" s="10" t="str">
        <f t="shared" si="1"/>
        <v>All</v>
      </c>
    </row>
    <row r="34" spans="1:26" ht="15.95" customHeight="1">
      <c r="A34" s="306" t="str">
        <f>Worker_List[[#This Row],[Company]] &amp; "-" &amp; Worker_List[[#This Row],[Department]] &amp; "-" &amp; $I$2 &amp; "-" &amp; TEXT(COUNTIF(INDEX(Worker_List[Department],1):Worker_List[[#This Row],[Department]],Worker_List[[#This Row],[Department]]),"0000")</f>
        <v>CIRQUE-All-Worker-0029</v>
      </c>
      <c r="B34" s="66"/>
      <c r="C34" s="7" t="s">
        <v>1198</v>
      </c>
      <c r="D34" s="28" t="s">
        <v>78</v>
      </c>
      <c r="E34" s="7" t="s">
        <v>1241</v>
      </c>
      <c r="F34" s="46"/>
      <c r="G34" s="366" t="str">
        <f>Worker_List[[#This Row],[Name of the person engaged]]&amp;"("&amp;Worker_List[[#This Row],[Email address of the person engaged]]&amp;")"</f>
        <v>Greg Clements()</v>
      </c>
      <c r="H34" s="7"/>
      <c r="I34" s="7"/>
      <c r="J34" s="7"/>
      <c r="K34" s="7">
        <v>55153</v>
      </c>
      <c r="L34" s="7">
        <v>45512</v>
      </c>
      <c r="M34" s="7" t="s">
        <v>1283</v>
      </c>
      <c r="N34" s="7">
        <v>45512</v>
      </c>
      <c r="O34" s="7">
        <v>45512</v>
      </c>
      <c r="P34" s="66" t="s">
        <v>1090</v>
      </c>
      <c r="Q34" s="66" t="s">
        <v>960</v>
      </c>
      <c r="R34" s="66"/>
      <c r="S34" s="66" t="s">
        <v>1324</v>
      </c>
      <c r="T34" s="28" t="s">
        <v>1324</v>
      </c>
      <c r="U34" s="28" t="s">
        <v>1324</v>
      </c>
      <c r="V34" s="28" t="s">
        <v>1241</v>
      </c>
      <c r="W34" s="28" t="s">
        <v>1324</v>
      </c>
      <c r="X34" s="7"/>
      <c r="Y34" s="10" t="str">
        <f t="shared" si="0"/>
        <v>CIRQUE</v>
      </c>
      <c r="Z34" s="10" t="str">
        <f t="shared" si="1"/>
        <v>All</v>
      </c>
    </row>
    <row r="35" spans="1:26" ht="15.95" customHeight="1">
      <c r="A35" s="306" t="str">
        <f>Worker_List[[#This Row],[Company]] &amp; "-" &amp; Worker_List[[#This Row],[Department]] &amp; "-" &amp; $I$2 &amp; "-" &amp; TEXT(COUNTIF(INDEX(Worker_List[Department],1):Worker_List[[#This Row],[Department]],Worker_List[[#This Row],[Department]]),"0000")</f>
        <v>CIRQUE-All-Worker-0030</v>
      </c>
      <c r="B35" s="66"/>
      <c r="C35" s="7" t="s">
        <v>1198</v>
      </c>
      <c r="D35" s="28" t="s">
        <v>78</v>
      </c>
      <c r="E35" s="7" t="s">
        <v>1242</v>
      </c>
      <c r="F35" s="46"/>
      <c r="G35" s="366" t="str">
        <f>Worker_List[[#This Row],[Name of the person engaged]]&amp;"("&amp;Worker_List[[#This Row],[Email address of the person engaged]]&amp;")"</f>
        <v>Jo Wang()</v>
      </c>
      <c r="H35" s="7"/>
      <c r="I35" s="7"/>
      <c r="J35" s="7"/>
      <c r="K35" s="7">
        <v>55153</v>
      </c>
      <c r="L35" s="7">
        <v>45512</v>
      </c>
      <c r="M35" s="7" t="s">
        <v>1283</v>
      </c>
      <c r="N35" s="7">
        <v>45512</v>
      </c>
      <c r="O35" s="7">
        <v>45512</v>
      </c>
      <c r="P35" s="66" t="s">
        <v>1090</v>
      </c>
      <c r="Q35" s="66" t="s">
        <v>961</v>
      </c>
      <c r="R35" s="66" t="s">
        <v>1317</v>
      </c>
      <c r="S35" s="66" t="s">
        <v>1324</v>
      </c>
      <c r="T35" s="28" t="s">
        <v>1324</v>
      </c>
      <c r="U35" s="28" t="s">
        <v>1324</v>
      </c>
      <c r="V35" s="28" t="s">
        <v>1242</v>
      </c>
      <c r="W35" s="28" t="s">
        <v>1324</v>
      </c>
      <c r="X35" s="7"/>
      <c r="Y35" s="10" t="str">
        <f t="shared" si="0"/>
        <v>CIRQUE</v>
      </c>
      <c r="Z35" s="10" t="str">
        <f t="shared" si="1"/>
        <v>All</v>
      </c>
    </row>
    <row r="36" spans="1:26" ht="15.95" customHeight="1">
      <c r="A36" s="306" t="str">
        <f>Worker_List[[#This Row],[Company]] &amp; "-" &amp; Worker_List[[#This Row],[Department]] &amp; "-" &amp; $I$2 &amp; "-" &amp; TEXT(COUNTIF(INDEX(Worker_List[Department],1):Worker_List[[#This Row],[Department]],Worker_List[[#This Row],[Department]]),"0000")</f>
        <v>CIRQUE-All-Worker-0031</v>
      </c>
      <c r="B36" s="66"/>
      <c r="C36" s="7" t="s">
        <v>1198</v>
      </c>
      <c r="D36" s="28" t="s">
        <v>78</v>
      </c>
      <c r="E36" s="7" t="s">
        <v>1243</v>
      </c>
      <c r="F36" s="46"/>
      <c r="G36" s="366" t="str">
        <f>Worker_List[[#This Row],[Name of the person engaged]]&amp;"("&amp;Worker_List[[#This Row],[Email address of the person engaged]]&amp;")"</f>
        <v>Jon Bertrand()</v>
      </c>
      <c r="H36" s="7"/>
      <c r="I36" s="7"/>
      <c r="J36" s="7"/>
      <c r="K36" s="7">
        <v>55153</v>
      </c>
      <c r="L36" s="7">
        <v>45512</v>
      </c>
      <c r="M36" s="7" t="s">
        <v>1283</v>
      </c>
      <c r="N36" s="7">
        <v>45512</v>
      </c>
      <c r="O36" s="7">
        <v>45512</v>
      </c>
      <c r="P36" s="66" t="s">
        <v>1090</v>
      </c>
      <c r="Q36" s="66" t="s">
        <v>1288</v>
      </c>
      <c r="R36" s="66"/>
      <c r="S36" s="66" t="s">
        <v>1324</v>
      </c>
      <c r="T36" s="28" t="s">
        <v>1324</v>
      </c>
      <c r="U36" s="28" t="s">
        <v>1324</v>
      </c>
      <c r="V36" s="28" t="s">
        <v>1243</v>
      </c>
      <c r="W36" s="28" t="s">
        <v>1324</v>
      </c>
      <c r="X36" s="7"/>
      <c r="Y36" s="10" t="str">
        <f t="shared" si="0"/>
        <v>CIRQUE</v>
      </c>
      <c r="Z36" s="10" t="str">
        <f t="shared" si="1"/>
        <v>All</v>
      </c>
    </row>
    <row r="37" spans="1:26" ht="15.95" customHeight="1">
      <c r="A37" s="306" t="str">
        <f>Worker_List[[#This Row],[Company]] &amp; "-" &amp; Worker_List[[#This Row],[Department]] &amp; "-" &amp; $I$2 &amp; "-" &amp; TEXT(COUNTIF(INDEX(Worker_List[Department],1):Worker_List[[#This Row],[Department]],Worker_List[[#This Row],[Department]]),"0000")</f>
        <v>CIRQUE-All-Worker-0032</v>
      </c>
      <c r="B37" s="66"/>
      <c r="C37" s="7" t="s">
        <v>1198</v>
      </c>
      <c r="D37" s="28" t="s">
        <v>78</v>
      </c>
      <c r="E37" s="7" t="s">
        <v>1244</v>
      </c>
      <c r="F37" s="46"/>
      <c r="G37" s="366" t="str">
        <f>Worker_List[[#This Row],[Name of the person engaged]]&amp;"("&amp;Worker_List[[#This Row],[Email address of the person engaged]]&amp;")"</f>
        <v>Jon Li()</v>
      </c>
      <c r="H37" s="7"/>
      <c r="I37" s="7"/>
      <c r="J37" s="7"/>
      <c r="K37" s="7">
        <v>55153</v>
      </c>
      <c r="L37" s="7">
        <v>45512</v>
      </c>
      <c r="M37" s="7" t="s">
        <v>1283</v>
      </c>
      <c r="N37" s="7">
        <v>45512</v>
      </c>
      <c r="O37" s="7">
        <v>45512</v>
      </c>
      <c r="P37" s="66" t="s">
        <v>1090</v>
      </c>
      <c r="Q37" s="66" t="s">
        <v>963</v>
      </c>
      <c r="R37" s="66" t="s">
        <v>1318</v>
      </c>
      <c r="S37" s="66" t="s">
        <v>1324</v>
      </c>
      <c r="T37" s="28" t="s">
        <v>1324</v>
      </c>
      <c r="U37" s="28" t="s">
        <v>1324</v>
      </c>
      <c r="V37" s="28" t="s">
        <v>1244</v>
      </c>
      <c r="W37" s="28" t="s">
        <v>1324</v>
      </c>
      <c r="X37" s="7"/>
      <c r="Y37" s="10" t="str">
        <f t="shared" si="0"/>
        <v>CIRQUE</v>
      </c>
      <c r="Z37" s="10" t="str">
        <f t="shared" si="1"/>
        <v>All</v>
      </c>
    </row>
    <row r="38" spans="1:26" ht="15.95" customHeight="1">
      <c r="A38" s="306" t="str">
        <f>Worker_List[[#This Row],[Company]] &amp; "-" &amp; Worker_List[[#This Row],[Department]] &amp; "-" &amp; $I$2 &amp; "-" &amp; TEXT(COUNTIF(INDEX(Worker_List[Department],1):Worker_List[[#This Row],[Department]],Worker_List[[#This Row],[Department]]),"0000")</f>
        <v>CIRQUE-All-Worker-0033</v>
      </c>
      <c r="B38" s="66"/>
      <c r="C38" s="7" t="s">
        <v>1198</v>
      </c>
      <c r="D38" s="28" t="s">
        <v>78</v>
      </c>
      <c r="E38" s="7" t="s">
        <v>1245</v>
      </c>
      <c r="F38" s="46"/>
      <c r="G38" s="366" t="str">
        <f>Worker_List[[#This Row],[Name of the person engaged]]&amp;"("&amp;Worker_List[[#This Row],[Email address of the person engaged]]&amp;")"</f>
        <v>Ken Tolman()</v>
      </c>
      <c r="H38" s="7"/>
      <c r="I38" s="7"/>
      <c r="J38" s="7"/>
      <c r="K38" s="7">
        <v>55153</v>
      </c>
      <c r="L38" s="7">
        <v>45512</v>
      </c>
      <c r="M38" s="7" t="s">
        <v>1283</v>
      </c>
      <c r="N38" s="7">
        <v>45512</v>
      </c>
      <c r="O38" s="7">
        <v>45512</v>
      </c>
      <c r="P38" s="66" t="s">
        <v>1090</v>
      </c>
      <c r="Q38" s="66" t="s">
        <v>965</v>
      </c>
      <c r="R38" s="66"/>
      <c r="S38" s="66" t="s">
        <v>1324</v>
      </c>
      <c r="T38" s="28" t="s">
        <v>1324</v>
      </c>
      <c r="U38" s="28" t="s">
        <v>1324</v>
      </c>
      <c r="V38" s="28" t="s">
        <v>1245</v>
      </c>
      <c r="W38" s="28" t="s">
        <v>1324</v>
      </c>
      <c r="X38" s="7"/>
      <c r="Y38" s="10" t="str">
        <f t="shared" si="0"/>
        <v>CIRQUE</v>
      </c>
      <c r="Z38" s="10" t="str">
        <f t="shared" si="1"/>
        <v>All</v>
      </c>
    </row>
    <row r="39" spans="1:26" ht="15.95" customHeight="1">
      <c r="A39" s="306" t="str">
        <f>Worker_List[[#This Row],[Company]] &amp; "-" &amp; Worker_List[[#This Row],[Department]] &amp; "-" &amp; $I$2 &amp; "-" &amp; TEXT(COUNTIF(INDEX(Worker_List[Department],1):Worker_List[[#This Row],[Department]],Worker_List[[#This Row],[Department]]),"0000")</f>
        <v>CIRQUE-All-Worker-0034</v>
      </c>
      <c r="B39" s="66"/>
      <c r="C39" s="7" t="s">
        <v>1198</v>
      </c>
      <c r="D39" s="28" t="s">
        <v>78</v>
      </c>
      <c r="E39" s="7" t="s">
        <v>1246</v>
      </c>
      <c r="F39" s="46"/>
      <c r="G39" s="366" t="str">
        <f>Worker_List[[#This Row],[Name of the person engaged]]&amp;"("&amp;Worker_List[[#This Row],[Email address of the person engaged]]&amp;")"</f>
        <v>Kenny Baker()</v>
      </c>
      <c r="H39" s="7"/>
      <c r="I39" s="7"/>
      <c r="J39" s="7"/>
      <c r="K39" s="7">
        <v>55153</v>
      </c>
      <c r="L39" s="7">
        <v>45512</v>
      </c>
      <c r="M39" s="7" t="s">
        <v>1283</v>
      </c>
      <c r="N39" s="7">
        <v>45512</v>
      </c>
      <c r="O39" s="7">
        <v>45512</v>
      </c>
      <c r="P39" s="66" t="s">
        <v>1090</v>
      </c>
      <c r="Q39" s="66" t="s">
        <v>1289</v>
      </c>
      <c r="R39" s="66"/>
      <c r="S39" s="66" t="s">
        <v>1324</v>
      </c>
      <c r="T39" s="28" t="s">
        <v>1324</v>
      </c>
      <c r="U39" s="28" t="s">
        <v>1324</v>
      </c>
      <c r="V39" s="28" t="s">
        <v>1246</v>
      </c>
      <c r="W39" s="28" t="s">
        <v>1324</v>
      </c>
      <c r="X39" s="7"/>
      <c r="Y39" s="10" t="str">
        <f t="shared" ref="Y39:Y70" si="2">$F$2</f>
        <v>CIRQUE</v>
      </c>
      <c r="Z39" s="10" t="str">
        <f t="shared" ref="Z39:Z70" si="3">$H$2</f>
        <v>All</v>
      </c>
    </row>
    <row r="40" spans="1:26" ht="15.95" customHeight="1">
      <c r="A40" s="306" t="str">
        <f>Worker_List[[#This Row],[Company]] &amp; "-" &amp; Worker_List[[#This Row],[Department]] &amp; "-" &amp; $I$2 &amp; "-" &amp; TEXT(COUNTIF(INDEX(Worker_List[Department],1):Worker_List[[#This Row],[Department]],Worker_List[[#This Row],[Department]]),"0000")</f>
        <v>CIRQUE-All-Worker-0035</v>
      </c>
      <c r="B40" s="66"/>
      <c r="C40" s="7" t="s">
        <v>1198</v>
      </c>
      <c r="D40" s="28" t="s">
        <v>78</v>
      </c>
      <c r="E40" s="7" t="s">
        <v>1247</v>
      </c>
      <c r="F40" s="46"/>
      <c r="G40" s="366" t="str">
        <f>Worker_List[[#This Row],[Name of the person engaged]]&amp;"("&amp;Worker_List[[#This Row],[Email address of the person engaged]]&amp;")"</f>
        <v>Kevin Lu()</v>
      </c>
      <c r="H40" s="7"/>
      <c r="I40" s="7"/>
      <c r="J40" s="7"/>
      <c r="K40" s="7">
        <v>55153</v>
      </c>
      <c r="L40" s="7">
        <v>45512</v>
      </c>
      <c r="M40" s="7" t="s">
        <v>1283</v>
      </c>
      <c r="N40" s="7">
        <v>45512</v>
      </c>
      <c r="O40" s="7">
        <v>45512</v>
      </c>
      <c r="P40" s="66" t="s">
        <v>1090</v>
      </c>
      <c r="Q40" s="66" t="s">
        <v>1290</v>
      </c>
      <c r="R40" s="66"/>
      <c r="S40" s="66" t="s">
        <v>1324</v>
      </c>
      <c r="T40" s="28" t="s">
        <v>1324</v>
      </c>
      <c r="U40" s="28" t="s">
        <v>1324</v>
      </c>
      <c r="V40" s="28" t="s">
        <v>1247</v>
      </c>
      <c r="W40" s="28" t="s">
        <v>1324</v>
      </c>
      <c r="X40" s="7"/>
      <c r="Y40" s="10" t="str">
        <f t="shared" si="2"/>
        <v>CIRQUE</v>
      </c>
      <c r="Z40" s="10" t="str">
        <f t="shared" si="3"/>
        <v>All</v>
      </c>
    </row>
    <row r="41" spans="1:26" ht="15.95" customHeight="1">
      <c r="A41" s="306" t="str">
        <f>Worker_List[[#This Row],[Company]] &amp; "-" &amp; Worker_List[[#This Row],[Department]] &amp; "-" &amp; $I$2 &amp; "-" &amp; TEXT(COUNTIF(INDEX(Worker_List[Department],1):Worker_List[[#This Row],[Department]],Worker_List[[#This Row],[Department]]),"0000")</f>
        <v>CIRQUE-All-Worker-0036</v>
      </c>
      <c r="B41" s="66"/>
      <c r="C41" s="7" t="s">
        <v>1198</v>
      </c>
      <c r="D41" s="28" t="s">
        <v>78</v>
      </c>
      <c r="E41" s="7" t="s">
        <v>1248</v>
      </c>
      <c r="F41" s="46"/>
      <c r="G41" s="366" t="str">
        <f>Worker_List[[#This Row],[Name of the person engaged]]&amp;"("&amp;Worker_List[[#This Row],[Email address of the person engaged]]&amp;")"</f>
        <v>Kristin Lillywhite()</v>
      </c>
      <c r="H41" s="7"/>
      <c r="I41" s="7"/>
      <c r="J41" s="7"/>
      <c r="K41" s="7">
        <v>55153</v>
      </c>
      <c r="L41" s="7">
        <v>45512</v>
      </c>
      <c r="M41" s="7" t="s">
        <v>1283</v>
      </c>
      <c r="N41" s="7">
        <v>45512</v>
      </c>
      <c r="O41" s="7">
        <v>45512</v>
      </c>
      <c r="P41" s="66" t="s">
        <v>1090</v>
      </c>
      <c r="Q41" s="66" t="s">
        <v>1291</v>
      </c>
      <c r="R41" s="66"/>
      <c r="S41" s="66" t="s">
        <v>1324</v>
      </c>
      <c r="T41" s="28" t="s">
        <v>1324</v>
      </c>
      <c r="U41" s="28" t="s">
        <v>1324</v>
      </c>
      <c r="V41" s="28" t="s">
        <v>1248</v>
      </c>
      <c r="W41" s="28" t="s">
        <v>1324</v>
      </c>
      <c r="X41" s="7"/>
      <c r="Y41" s="10" t="str">
        <f t="shared" si="2"/>
        <v>CIRQUE</v>
      </c>
      <c r="Z41" s="10" t="str">
        <f t="shared" si="3"/>
        <v>All</v>
      </c>
    </row>
    <row r="42" spans="1:26" ht="15.95" customHeight="1">
      <c r="A42" s="306" t="str">
        <f>Worker_List[[#This Row],[Company]] &amp; "-" &amp; Worker_List[[#This Row],[Department]] &amp; "-" &amp; $I$2 &amp; "-" &amp; TEXT(COUNTIF(INDEX(Worker_List[Department],1):Worker_List[[#This Row],[Department]],Worker_List[[#This Row],[Department]]),"0000")</f>
        <v>CIRQUE-All-Worker-0037</v>
      </c>
      <c r="B42" s="66"/>
      <c r="C42" s="7" t="s">
        <v>1198</v>
      </c>
      <c r="D42" s="28" t="s">
        <v>78</v>
      </c>
      <c r="E42" s="7" t="s">
        <v>1249</v>
      </c>
      <c r="F42" s="46"/>
      <c r="G42" s="366" t="str">
        <f>Worker_List[[#This Row],[Name of the person engaged]]&amp;"("&amp;Worker_List[[#This Row],[Email address of the person engaged]]&amp;")"</f>
        <v>Leo Jiang()</v>
      </c>
      <c r="H42" s="7"/>
      <c r="I42" s="7"/>
      <c r="J42" s="7"/>
      <c r="K42" s="7">
        <v>55153</v>
      </c>
      <c r="L42" s="7">
        <v>45512</v>
      </c>
      <c r="M42" s="7" t="s">
        <v>1283</v>
      </c>
      <c r="N42" s="7">
        <v>45512</v>
      </c>
      <c r="O42" s="7">
        <v>45512</v>
      </c>
      <c r="P42" s="66" t="s">
        <v>1090</v>
      </c>
      <c r="Q42" s="66" t="s">
        <v>966</v>
      </c>
      <c r="R42" s="66" t="s">
        <v>1319</v>
      </c>
      <c r="S42" s="66" t="s">
        <v>1324</v>
      </c>
      <c r="T42" s="28" t="s">
        <v>1324</v>
      </c>
      <c r="U42" s="28" t="s">
        <v>1324</v>
      </c>
      <c r="V42" s="28" t="s">
        <v>1249</v>
      </c>
      <c r="W42" s="28" t="s">
        <v>1324</v>
      </c>
      <c r="X42" s="7"/>
      <c r="Y42" s="10" t="str">
        <f t="shared" si="2"/>
        <v>CIRQUE</v>
      </c>
      <c r="Z42" s="10" t="str">
        <f t="shared" si="3"/>
        <v>All</v>
      </c>
    </row>
    <row r="43" spans="1:26" ht="15.95" customHeight="1">
      <c r="A43" s="306" t="str">
        <f>Worker_List[[#This Row],[Company]] &amp; "-" &amp; Worker_List[[#This Row],[Department]] &amp; "-" &amp; $I$2 &amp; "-" &amp; TEXT(COUNTIF(INDEX(Worker_List[Department],1):Worker_List[[#This Row],[Department]],Worker_List[[#This Row],[Department]]),"0000")</f>
        <v>CIRQUE-All-Worker-0038</v>
      </c>
      <c r="B43" s="66"/>
      <c r="C43" s="7" t="s">
        <v>1198</v>
      </c>
      <c r="D43" s="28" t="s">
        <v>78</v>
      </c>
      <c r="E43" s="7" t="s">
        <v>1250</v>
      </c>
      <c r="F43" s="46"/>
      <c r="G43" s="366" t="str">
        <f>Worker_List[[#This Row],[Name of the person engaged]]&amp;"("&amp;Worker_List[[#This Row],[Email address of the person engaged]]&amp;")"</f>
        <v>Luke Davidson()</v>
      </c>
      <c r="H43" s="7"/>
      <c r="I43" s="7"/>
      <c r="J43" s="7"/>
      <c r="K43" s="7">
        <v>55153</v>
      </c>
      <c r="L43" s="7">
        <v>45512</v>
      </c>
      <c r="M43" s="7" t="s">
        <v>1283</v>
      </c>
      <c r="N43" s="7">
        <v>45512</v>
      </c>
      <c r="O43" s="7">
        <v>45512</v>
      </c>
      <c r="P43" s="66" t="s">
        <v>1090</v>
      </c>
      <c r="Q43" s="66" t="s">
        <v>968</v>
      </c>
      <c r="R43" s="66"/>
      <c r="S43" s="66" t="s">
        <v>1324</v>
      </c>
      <c r="T43" s="28" t="s">
        <v>1324</v>
      </c>
      <c r="U43" s="28" t="s">
        <v>1324</v>
      </c>
      <c r="V43" s="28" t="s">
        <v>1250</v>
      </c>
      <c r="W43" s="28" t="s">
        <v>1324</v>
      </c>
      <c r="X43" s="7"/>
      <c r="Y43" s="10" t="str">
        <f t="shared" si="2"/>
        <v>CIRQUE</v>
      </c>
      <c r="Z43" s="10" t="str">
        <f t="shared" si="3"/>
        <v>All</v>
      </c>
    </row>
    <row r="44" spans="1:26" ht="15.95" customHeight="1">
      <c r="A44" s="306" t="str">
        <f>Worker_List[[#This Row],[Company]] &amp; "-" &amp; Worker_List[[#This Row],[Department]] &amp; "-" &amp; $I$2 &amp; "-" &amp; TEXT(COUNTIF(INDEX(Worker_List[Department],1):Worker_List[[#This Row],[Department]],Worker_List[[#This Row],[Department]]),"0000")</f>
        <v>CIRQUE-All-Worker-0039</v>
      </c>
      <c r="B44" s="66"/>
      <c r="C44" s="7" t="s">
        <v>1198</v>
      </c>
      <c r="D44" s="28" t="s">
        <v>78</v>
      </c>
      <c r="E44" s="7" t="s">
        <v>1251</v>
      </c>
      <c r="F44" s="46"/>
      <c r="G44" s="366" t="str">
        <f>Worker_List[[#This Row],[Name of the person engaged]]&amp;"("&amp;Worker_List[[#This Row],[Email address of the person engaged]]&amp;")"</f>
        <v>Michael Chang()</v>
      </c>
      <c r="H44" s="7"/>
      <c r="I44" s="7"/>
      <c r="J44" s="7"/>
      <c r="K44" s="7">
        <v>55153</v>
      </c>
      <c r="L44" s="7">
        <v>45512</v>
      </c>
      <c r="M44" s="7" t="s">
        <v>1283</v>
      </c>
      <c r="N44" s="7">
        <v>45512</v>
      </c>
      <c r="O44" s="7">
        <v>45512</v>
      </c>
      <c r="P44" s="66" t="s">
        <v>1090</v>
      </c>
      <c r="Q44" s="66" t="s">
        <v>970</v>
      </c>
      <c r="R44" s="66"/>
      <c r="S44" s="66" t="s">
        <v>1324</v>
      </c>
      <c r="T44" s="28" t="s">
        <v>1324</v>
      </c>
      <c r="U44" s="28" t="s">
        <v>1324</v>
      </c>
      <c r="V44" s="28" t="s">
        <v>1251</v>
      </c>
      <c r="W44" s="28" t="s">
        <v>1324</v>
      </c>
      <c r="X44" s="7"/>
      <c r="Y44" s="10" t="str">
        <f t="shared" si="2"/>
        <v>CIRQUE</v>
      </c>
      <c r="Z44" s="10" t="str">
        <f t="shared" si="3"/>
        <v>All</v>
      </c>
    </row>
    <row r="45" spans="1:26" ht="15.95" customHeight="1">
      <c r="A45" s="306" t="str">
        <f>Worker_List[[#This Row],[Company]] &amp; "-" &amp; Worker_List[[#This Row],[Department]] &amp; "-" &amp; $I$2 &amp; "-" &amp; TEXT(COUNTIF(INDEX(Worker_List[Department],1):Worker_List[[#This Row],[Department]],Worker_List[[#This Row],[Department]]),"0000")</f>
        <v>CIRQUE-All-Worker-0040</v>
      </c>
      <c r="B45" s="66"/>
      <c r="C45" s="7" t="s">
        <v>1198</v>
      </c>
      <c r="D45" s="28" t="s">
        <v>78</v>
      </c>
      <c r="E45" s="7" t="s">
        <v>1252</v>
      </c>
      <c r="F45" s="46"/>
      <c r="G45" s="366" t="str">
        <f>Worker_List[[#This Row],[Name of the person engaged]]&amp;"("&amp;Worker_List[[#This Row],[Email address of the person engaged]]&amp;")"</f>
        <v>Michael Layton()</v>
      </c>
      <c r="H45" s="7"/>
      <c r="I45" s="7"/>
      <c r="J45" s="7"/>
      <c r="K45" s="7">
        <v>55153</v>
      </c>
      <c r="L45" s="7">
        <v>45512</v>
      </c>
      <c r="M45" s="7" t="s">
        <v>1283</v>
      </c>
      <c r="N45" s="7">
        <v>45512</v>
      </c>
      <c r="O45" s="7">
        <v>45512</v>
      </c>
      <c r="P45" s="66" t="s">
        <v>1090</v>
      </c>
      <c r="Q45" s="66" t="s">
        <v>1292</v>
      </c>
      <c r="R45" s="66"/>
      <c r="S45" s="66" t="s">
        <v>1324</v>
      </c>
      <c r="T45" s="28" t="s">
        <v>1324</v>
      </c>
      <c r="U45" s="28" t="s">
        <v>1324</v>
      </c>
      <c r="V45" s="28" t="s">
        <v>1252</v>
      </c>
      <c r="W45" s="28" t="s">
        <v>1324</v>
      </c>
      <c r="X45" s="7"/>
      <c r="Y45" s="10" t="str">
        <f t="shared" si="2"/>
        <v>CIRQUE</v>
      </c>
      <c r="Z45" s="10" t="str">
        <f t="shared" si="3"/>
        <v>All</v>
      </c>
    </row>
    <row r="46" spans="1:26" ht="15.95" customHeight="1">
      <c r="A46" s="306" t="str">
        <f>Worker_List[[#This Row],[Company]] &amp; "-" &amp; Worker_List[[#This Row],[Department]] &amp; "-" &amp; $I$2 &amp; "-" &amp; TEXT(COUNTIF(INDEX(Worker_List[Department],1):Worker_List[[#This Row],[Department]],Worker_List[[#This Row],[Department]]),"0000")</f>
        <v>CIRQUE-All-Worker-0041</v>
      </c>
      <c r="B46" s="66"/>
      <c r="C46" s="7" t="s">
        <v>1198</v>
      </c>
      <c r="D46" s="28" t="s">
        <v>78</v>
      </c>
      <c r="E46" s="7" t="s">
        <v>895</v>
      </c>
      <c r="F46" s="46"/>
      <c r="G46" s="366" t="str">
        <f>Worker_List[[#This Row],[Name of the person engaged]]&amp;"("&amp;Worker_List[[#This Row],[Email address of the person engaged]]&amp;")"</f>
        <v>Mike Litster()</v>
      </c>
      <c r="H46" s="7"/>
      <c r="I46" s="7"/>
      <c r="J46" s="7"/>
      <c r="K46" s="7">
        <v>55153</v>
      </c>
      <c r="L46" s="7">
        <v>45512</v>
      </c>
      <c r="M46" s="7" t="s">
        <v>1283</v>
      </c>
      <c r="N46" s="7">
        <v>45512</v>
      </c>
      <c r="O46" s="7">
        <v>45512</v>
      </c>
      <c r="P46" s="66" t="s">
        <v>1090</v>
      </c>
      <c r="Q46" s="66" t="s">
        <v>971</v>
      </c>
      <c r="R46" s="66"/>
      <c r="S46" s="66" t="s">
        <v>1324</v>
      </c>
      <c r="T46" s="28" t="s">
        <v>1324</v>
      </c>
      <c r="U46" s="28" t="s">
        <v>1324</v>
      </c>
      <c r="V46" s="28" t="s">
        <v>895</v>
      </c>
      <c r="W46" s="28" t="s">
        <v>1324</v>
      </c>
      <c r="X46" s="7"/>
      <c r="Y46" s="10" t="str">
        <f t="shared" si="2"/>
        <v>CIRQUE</v>
      </c>
      <c r="Z46" s="10" t="str">
        <f t="shared" si="3"/>
        <v>All</v>
      </c>
    </row>
    <row r="47" spans="1:26" ht="15.95" customHeight="1">
      <c r="A47" s="306" t="str">
        <f>Worker_List[[#This Row],[Company]] &amp; "-" &amp; Worker_List[[#This Row],[Department]] &amp; "-" &amp; $I$2 &amp; "-" &amp; TEXT(COUNTIF(INDEX(Worker_List[Department],1):Worker_List[[#This Row],[Department]],Worker_List[[#This Row],[Department]]),"0000")</f>
        <v>CIRQUE-All-Worker-0042</v>
      </c>
      <c r="B47" s="66"/>
      <c r="C47" s="7" t="s">
        <v>1198</v>
      </c>
      <c r="D47" s="28" t="s">
        <v>78</v>
      </c>
      <c r="E47" s="7" t="s">
        <v>1253</v>
      </c>
      <c r="F47" s="46"/>
      <c r="G47" s="366" t="str">
        <f>Worker_List[[#This Row],[Name of the person engaged]]&amp;"("&amp;Worker_List[[#This Row],[Email address of the person engaged]]&amp;")"</f>
        <v>Mike Tran()</v>
      </c>
      <c r="H47" s="7"/>
      <c r="I47" s="7"/>
      <c r="J47" s="7"/>
      <c r="K47" s="7">
        <v>55153</v>
      </c>
      <c r="L47" s="7">
        <v>45512</v>
      </c>
      <c r="M47" s="7" t="s">
        <v>1283</v>
      </c>
      <c r="N47" s="7">
        <v>45512</v>
      </c>
      <c r="O47" s="7">
        <v>45512</v>
      </c>
      <c r="P47" s="66" t="s">
        <v>1090</v>
      </c>
      <c r="Q47" s="66" t="s">
        <v>1293</v>
      </c>
      <c r="R47" s="66"/>
      <c r="S47" s="66" t="s">
        <v>1324</v>
      </c>
      <c r="T47" s="28" t="s">
        <v>1324</v>
      </c>
      <c r="U47" s="28" t="s">
        <v>1324</v>
      </c>
      <c r="V47" s="28" t="s">
        <v>1253</v>
      </c>
      <c r="W47" s="28" t="s">
        <v>1324</v>
      </c>
      <c r="X47" s="7"/>
      <c r="Y47" s="10" t="str">
        <f t="shared" si="2"/>
        <v>CIRQUE</v>
      </c>
      <c r="Z47" s="10" t="str">
        <f t="shared" si="3"/>
        <v>All</v>
      </c>
    </row>
    <row r="48" spans="1:26" ht="15.95" customHeight="1">
      <c r="A48" s="306" t="str">
        <f>Worker_List[[#This Row],[Company]] &amp; "-" &amp; Worker_List[[#This Row],[Department]] &amp; "-" &amp; $I$2 &amp; "-" &amp; TEXT(COUNTIF(INDEX(Worker_List[Department],1):Worker_List[[#This Row],[Department]],Worker_List[[#This Row],[Department]]),"0000")</f>
        <v>CIRQUE-All-Worker-0043</v>
      </c>
      <c r="B48" s="66"/>
      <c r="C48" s="7" t="s">
        <v>1198</v>
      </c>
      <c r="D48" s="28" t="s">
        <v>78</v>
      </c>
      <c r="E48" s="7" t="s">
        <v>1254</v>
      </c>
      <c r="F48" s="46"/>
      <c r="G48" s="366" t="str">
        <f>Worker_List[[#This Row],[Name of the person engaged]]&amp;"("&amp;Worker_List[[#This Row],[Email address of the person engaged]]&amp;")"</f>
        <v>Misty Barnes()</v>
      </c>
      <c r="H48" s="7"/>
      <c r="I48" s="7"/>
      <c r="J48" s="7"/>
      <c r="K48" s="7">
        <v>55153</v>
      </c>
      <c r="L48" s="7">
        <v>45512</v>
      </c>
      <c r="M48" s="7" t="s">
        <v>1283</v>
      </c>
      <c r="N48" s="7">
        <v>45512</v>
      </c>
      <c r="O48" s="7">
        <v>45512</v>
      </c>
      <c r="P48" s="66" t="s">
        <v>1090</v>
      </c>
      <c r="Q48" s="66" t="s">
        <v>1294</v>
      </c>
      <c r="R48" s="66"/>
      <c r="S48" s="66" t="s">
        <v>1324</v>
      </c>
      <c r="T48" s="28" t="s">
        <v>1324</v>
      </c>
      <c r="U48" s="28" t="s">
        <v>1324</v>
      </c>
      <c r="V48" s="28" t="s">
        <v>1254</v>
      </c>
      <c r="W48" s="28" t="s">
        <v>1324</v>
      </c>
      <c r="X48" s="7"/>
      <c r="Y48" s="10" t="str">
        <f t="shared" si="2"/>
        <v>CIRQUE</v>
      </c>
      <c r="Z48" s="10" t="str">
        <f t="shared" si="3"/>
        <v>All</v>
      </c>
    </row>
    <row r="49" spans="1:26" ht="15.95" customHeight="1">
      <c r="A49" s="306" t="str">
        <f>Worker_List[[#This Row],[Company]] &amp; "-" &amp; Worker_List[[#This Row],[Department]] &amp; "-" &amp; $I$2 &amp; "-" &amp; TEXT(COUNTIF(INDEX(Worker_List[Department],1):Worker_List[[#This Row],[Department]],Worker_List[[#This Row],[Department]]),"0000")</f>
        <v>CIRQUE-All-Worker-0044</v>
      </c>
      <c r="B49" s="66"/>
      <c r="C49" s="7" t="s">
        <v>1198</v>
      </c>
      <c r="D49" s="28" t="s">
        <v>78</v>
      </c>
      <c r="E49" s="7" t="s">
        <v>1255</v>
      </c>
      <c r="F49" s="46"/>
      <c r="G49" s="366" t="str">
        <f>Worker_List[[#This Row],[Name of the person engaged]]&amp;"("&amp;Worker_List[[#This Row],[Email address of the person engaged]]&amp;")"</f>
        <v>Nemo Wang()</v>
      </c>
      <c r="H49" s="7"/>
      <c r="I49" s="7"/>
      <c r="J49" s="7"/>
      <c r="K49" s="7">
        <v>55153</v>
      </c>
      <c r="L49" s="7">
        <v>45512</v>
      </c>
      <c r="M49" s="7" t="s">
        <v>1283</v>
      </c>
      <c r="N49" s="7">
        <v>45512</v>
      </c>
      <c r="O49" s="7">
        <v>45512</v>
      </c>
      <c r="P49" s="66" t="s">
        <v>1090</v>
      </c>
      <c r="Q49" s="66" t="s">
        <v>1295</v>
      </c>
      <c r="R49" s="66"/>
      <c r="S49" s="66" t="s">
        <v>1324</v>
      </c>
      <c r="T49" s="28" t="s">
        <v>1324</v>
      </c>
      <c r="U49" s="28" t="s">
        <v>1324</v>
      </c>
      <c r="V49" s="28" t="s">
        <v>1255</v>
      </c>
      <c r="W49" s="28" t="s">
        <v>1324</v>
      </c>
      <c r="X49" s="7"/>
      <c r="Y49" s="10" t="str">
        <f t="shared" si="2"/>
        <v>CIRQUE</v>
      </c>
      <c r="Z49" s="10" t="str">
        <f t="shared" si="3"/>
        <v>All</v>
      </c>
    </row>
    <row r="50" spans="1:26" ht="15.95" customHeight="1">
      <c r="A50" s="306" t="str">
        <f>Worker_List[[#This Row],[Company]] &amp; "-" &amp; Worker_List[[#This Row],[Department]] &amp; "-" &amp; $I$2 &amp; "-" &amp; TEXT(COUNTIF(INDEX(Worker_List[Department],1):Worker_List[[#This Row],[Department]],Worker_List[[#This Row],[Department]]),"0000")</f>
        <v>CIRQUE-All-Worker-0045</v>
      </c>
      <c r="B50" s="66"/>
      <c r="C50" s="7" t="s">
        <v>1198</v>
      </c>
      <c r="D50" s="28" t="s">
        <v>78</v>
      </c>
      <c r="E50" s="7" t="s">
        <v>1134</v>
      </c>
      <c r="F50" s="46"/>
      <c r="G50" s="366" t="str">
        <f>Worker_List[[#This Row],[Name of the person engaged]]&amp;"("&amp;Worker_List[[#This Row],[Email address of the person engaged]]&amp;")"</f>
        <v>Noah Bailey()</v>
      </c>
      <c r="H50" s="7"/>
      <c r="I50" s="7"/>
      <c r="J50" s="7"/>
      <c r="K50" s="7">
        <v>55153</v>
      </c>
      <c r="L50" s="7">
        <v>45512</v>
      </c>
      <c r="M50" s="7" t="s">
        <v>1283</v>
      </c>
      <c r="N50" s="7">
        <v>45512</v>
      </c>
      <c r="O50" s="7">
        <v>45512</v>
      </c>
      <c r="P50" s="66" t="s">
        <v>1090</v>
      </c>
      <c r="Q50" s="66" t="s">
        <v>973</v>
      </c>
      <c r="R50" s="66"/>
      <c r="S50" s="66" t="s">
        <v>1324</v>
      </c>
      <c r="T50" s="28" t="s">
        <v>1324</v>
      </c>
      <c r="U50" s="28" t="s">
        <v>1324</v>
      </c>
      <c r="V50" s="28" t="s">
        <v>1134</v>
      </c>
      <c r="W50" s="28" t="s">
        <v>1324</v>
      </c>
      <c r="X50" s="7"/>
      <c r="Y50" s="10" t="str">
        <f t="shared" si="2"/>
        <v>CIRQUE</v>
      </c>
      <c r="Z50" s="10" t="str">
        <f t="shared" si="3"/>
        <v>All</v>
      </c>
    </row>
    <row r="51" spans="1:26" ht="15.95" customHeight="1">
      <c r="A51" s="306" t="str">
        <f>Worker_List[[#This Row],[Company]] &amp; "-" &amp; Worker_List[[#This Row],[Department]] &amp; "-" &amp; $I$2 &amp; "-" &amp; TEXT(COUNTIF(INDEX(Worker_List[Department],1):Worker_List[[#This Row],[Department]],Worker_List[[#This Row],[Department]]),"0000")</f>
        <v>CIRQUE-All-Worker-0046</v>
      </c>
      <c r="B51" s="66"/>
      <c r="C51" s="7" t="s">
        <v>1198</v>
      </c>
      <c r="D51" s="28" t="s">
        <v>78</v>
      </c>
      <c r="E51" s="7" t="s">
        <v>898</v>
      </c>
      <c r="F51" s="46"/>
      <c r="G51" s="366" t="str">
        <f>Worker_List[[#This Row],[Name of the person engaged]]&amp;"("&amp;Worker_List[[#This Row],[Email address of the person engaged]]&amp;")"</f>
        <v>Paul Vincent()</v>
      </c>
      <c r="H51" s="7"/>
      <c r="I51" s="7"/>
      <c r="J51" s="7"/>
      <c r="K51" s="7">
        <v>55153</v>
      </c>
      <c r="L51" s="7">
        <v>45512</v>
      </c>
      <c r="M51" s="7" t="s">
        <v>1283</v>
      </c>
      <c r="N51" s="7">
        <v>45512</v>
      </c>
      <c r="O51" s="7">
        <v>45512</v>
      </c>
      <c r="P51" s="66" t="s">
        <v>1090</v>
      </c>
      <c r="Q51" s="66" t="s">
        <v>974</v>
      </c>
      <c r="R51" s="66"/>
      <c r="S51" s="66" t="s">
        <v>1324</v>
      </c>
      <c r="T51" s="28" t="s">
        <v>1324</v>
      </c>
      <c r="U51" s="28" t="s">
        <v>1324</v>
      </c>
      <c r="V51" s="28" t="s">
        <v>898</v>
      </c>
      <c r="W51" s="28" t="s">
        <v>1324</v>
      </c>
      <c r="X51" s="7"/>
      <c r="Y51" s="10" t="str">
        <f t="shared" si="2"/>
        <v>CIRQUE</v>
      </c>
      <c r="Z51" s="10" t="str">
        <f t="shared" si="3"/>
        <v>All</v>
      </c>
    </row>
    <row r="52" spans="1:26" ht="15.95" customHeight="1">
      <c r="A52" s="306" t="str">
        <f>Worker_List[[#This Row],[Company]] &amp; "-" &amp; Worker_List[[#This Row],[Department]] &amp; "-" &amp; $I$2 &amp; "-" &amp; TEXT(COUNTIF(INDEX(Worker_List[Department],1):Worker_List[[#This Row],[Department]],Worker_List[[#This Row],[Department]]),"0000")</f>
        <v>CIRQUE-All-Worker-0047</v>
      </c>
      <c r="B52" s="66"/>
      <c r="C52" s="7" t="s">
        <v>1198</v>
      </c>
      <c r="D52" s="28" t="s">
        <v>78</v>
      </c>
      <c r="E52" s="7" t="s">
        <v>1256</v>
      </c>
      <c r="F52" s="46"/>
      <c r="G52" s="366" t="str">
        <f>Worker_List[[#This Row],[Name of the person engaged]]&amp;"("&amp;Worker_List[[#This Row],[Email address of the person engaged]]&amp;")"</f>
        <v>Pedro Chiu()</v>
      </c>
      <c r="H52" s="7"/>
      <c r="I52" s="7"/>
      <c r="J52" s="7"/>
      <c r="K52" s="7">
        <v>55153</v>
      </c>
      <c r="L52" s="7">
        <v>45512</v>
      </c>
      <c r="M52" s="7" t="s">
        <v>1283</v>
      </c>
      <c r="N52" s="7">
        <v>45512</v>
      </c>
      <c r="O52" s="7">
        <v>45512</v>
      </c>
      <c r="P52" s="66" t="s">
        <v>1090</v>
      </c>
      <c r="Q52" s="66" t="s">
        <v>975</v>
      </c>
      <c r="R52" s="66"/>
      <c r="S52" s="66" t="s">
        <v>1324</v>
      </c>
      <c r="T52" s="28" t="s">
        <v>1324</v>
      </c>
      <c r="U52" s="28" t="s">
        <v>1324</v>
      </c>
      <c r="V52" s="28" t="s">
        <v>1256</v>
      </c>
      <c r="W52" s="28" t="s">
        <v>1324</v>
      </c>
      <c r="X52" s="7"/>
      <c r="Y52" s="10" t="str">
        <f t="shared" si="2"/>
        <v>CIRQUE</v>
      </c>
      <c r="Z52" s="10" t="str">
        <f t="shared" si="3"/>
        <v>All</v>
      </c>
    </row>
    <row r="53" spans="1:26" ht="15.95" customHeight="1">
      <c r="A53" s="306" t="str">
        <f>Worker_List[[#This Row],[Company]] &amp; "-" &amp; Worker_List[[#This Row],[Department]] &amp; "-" &amp; $I$2 &amp; "-" &amp; TEXT(COUNTIF(INDEX(Worker_List[Department],1):Worker_List[[#This Row],[Department]],Worker_List[[#This Row],[Department]]),"0000")</f>
        <v>CIRQUE-All-Worker-0048</v>
      </c>
      <c r="B53" s="66"/>
      <c r="C53" s="7" t="s">
        <v>1198</v>
      </c>
      <c r="D53" s="28" t="s">
        <v>78</v>
      </c>
      <c r="E53" s="7" t="s">
        <v>1137</v>
      </c>
      <c r="F53" s="46"/>
      <c r="G53" s="366" t="str">
        <f>Worker_List[[#This Row],[Name of the person engaged]]&amp;"("&amp;Worker_List[[#This Row],[Email address of the person engaged]]&amp;")"</f>
        <v>Ray Cheng()</v>
      </c>
      <c r="H53" s="7"/>
      <c r="I53" s="7"/>
      <c r="J53" s="7"/>
      <c r="K53" s="7">
        <v>55153</v>
      </c>
      <c r="L53" s="7">
        <v>45512</v>
      </c>
      <c r="M53" s="7" t="s">
        <v>1283</v>
      </c>
      <c r="N53" s="7">
        <v>45512</v>
      </c>
      <c r="O53" s="7">
        <v>45512</v>
      </c>
      <c r="P53" s="66" t="s">
        <v>1090</v>
      </c>
      <c r="Q53" s="66" t="s">
        <v>976</v>
      </c>
      <c r="R53" s="66" t="s">
        <v>1320</v>
      </c>
      <c r="S53" s="66" t="s">
        <v>1324</v>
      </c>
      <c r="T53" s="28" t="s">
        <v>1324</v>
      </c>
      <c r="U53" s="28" t="s">
        <v>1324</v>
      </c>
      <c r="V53" s="28" t="s">
        <v>1137</v>
      </c>
      <c r="W53" s="28" t="s">
        <v>1324</v>
      </c>
      <c r="X53" s="7"/>
      <c r="Y53" s="10" t="str">
        <f t="shared" si="2"/>
        <v>CIRQUE</v>
      </c>
      <c r="Z53" s="10" t="str">
        <f t="shared" si="3"/>
        <v>All</v>
      </c>
    </row>
    <row r="54" spans="1:26" ht="15.95" customHeight="1">
      <c r="A54" s="306" t="str">
        <f>Worker_List[[#This Row],[Company]] &amp; "-" &amp; Worker_List[[#This Row],[Department]] &amp; "-" &amp; $I$2 &amp; "-" &amp; TEXT(COUNTIF(INDEX(Worker_List[Department],1):Worker_List[[#This Row],[Department]],Worker_List[[#This Row],[Department]]),"0000")</f>
        <v>CIRQUE-All-Worker-0049</v>
      </c>
      <c r="B54" s="66"/>
      <c r="C54" s="7" t="s">
        <v>1198</v>
      </c>
      <c r="D54" s="28" t="s">
        <v>78</v>
      </c>
      <c r="E54" s="7" t="s">
        <v>1257</v>
      </c>
      <c r="F54" s="46"/>
      <c r="G54" s="366" t="str">
        <f>Worker_List[[#This Row],[Name of the person engaged]]&amp;"("&amp;Worker_List[[#This Row],[Email address of the person engaged]]&amp;")"</f>
        <v>Richard Zimmerman()</v>
      </c>
      <c r="H54" s="7"/>
      <c r="I54" s="7"/>
      <c r="J54" s="7"/>
      <c r="K54" s="7">
        <v>55153</v>
      </c>
      <c r="L54" s="7">
        <v>45512</v>
      </c>
      <c r="M54" s="7" t="s">
        <v>1283</v>
      </c>
      <c r="N54" s="7">
        <v>45512</v>
      </c>
      <c r="O54" s="7">
        <v>45512</v>
      </c>
      <c r="P54" s="66" t="s">
        <v>1090</v>
      </c>
      <c r="Q54" s="66" t="s">
        <v>1296</v>
      </c>
      <c r="R54" s="66"/>
      <c r="S54" s="66" t="s">
        <v>1324</v>
      </c>
      <c r="T54" s="28" t="s">
        <v>1324</v>
      </c>
      <c r="U54" s="28" t="s">
        <v>1324</v>
      </c>
      <c r="V54" s="28" t="s">
        <v>1257</v>
      </c>
      <c r="W54" s="28" t="s">
        <v>1324</v>
      </c>
      <c r="X54" s="7"/>
      <c r="Y54" s="10" t="str">
        <f t="shared" si="2"/>
        <v>CIRQUE</v>
      </c>
      <c r="Z54" s="10" t="str">
        <f t="shared" si="3"/>
        <v>All</v>
      </c>
    </row>
    <row r="55" spans="1:26" ht="15.95" customHeight="1">
      <c r="A55" s="306" t="str">
        <f>Worker_List[[#This Row],[Company]] &amp; "-" &amp; Worker_List[[#This Row],[Department]] &amp; "-" &amp; $I$2 &amp; "-" &amp; TEXT(COUNTIF(INDEX(Worker_List[Department],1):Worker_List[[#This Row],[Department]],Worker_List[[#This Row],[Department]]),"0000")</f>
        <v>CIRQUE-All-Worker-0050</v>
      </c>
      <c r="B55" s="66"/>
      <c r="C55" s="7" t="s">
        <v>1198</v>
      </c>
      <c r="D55" s="28" t="s">
        <v>78</v>
      </c>
      <c r="E55" s="7" t="s">
        <v>1258</v>
      </c>
      <c r="F55" s="46"/>
      <c r="G55" s="366" t="str">
        <f>Worker_List[[#This Row],[Name of the person engaged]]&amp;"("&amp;Worker_List[[#This Row],[Email address of the person engaged]]&amp;")"</f>
        <v>Ruby Sung()</v>
      </c>
      <c r="H55" s="7"/>
      <c r="I55" s="7"/>
      <c r="J55" s="7"/>
      <c r="K55" s="7">
        <v>55153</v>
      </c>
      <c r="L55" s="7">
        <v>45512</v>
      </c>
      <c r="M55" s="7" t="s">
        <v>1283</v>
      </c>
      <c r="N55" s="7">
        <v>45512</v>
      </c>
      <c r="O55" s="7">
        <v>45512</v>
      </c>
      <c r="P55" s="66" t="s">
        <v>1090</v>
      </c>
      <c r="Q55" s="66" t="s">
        <v>964</v>
      </c>
      <c r="R55" s="66" t="s">
        <v>1321</v>
      </c>
      <c r="S55" s="66" t="s">
        <v>1324</v>
      </c>
      <c r="T55" s="28" t="s">
        <v>1324</v>
      </c>
      <c r="U55" s="28" t="s">
        <v>1324</v>
      </c>
      <c r="V55" s="28" t="s">
        <v>1258</v>
      </c>
      <c r="W55" s="28" t="s">
        <v>1324</v>
      </c>
      <c r="X55" s="7"/>
      <c r="Y55" s="10" t="str">
        <f t="shared" si="2"/>
        <v>CIRQUE</v>
      </c>
      <c r="Z55" s="10" t="str">
        <f t="shared" si="3"/>
        <v>All</v>
      </c>
    </row>
    <row r="56" spans="1:26" ht="15.95" customHeight="1">
      <c r="A56" s="306" t="str">
        <f>Worker_List[[#This Row],[Company]] &amp; "-" &amp; Worker_List[[#This Row],[Department]] &amp; "-" &amp; $I$2 &amp; "-" &amp; TEXT(COUNTIF(INDEX(Worker_List[Department],1):Worker_List[[#This Row],[Department]],Worker_List[[#This Row],[Department]]),"0000")</f>
        <v>CIRQUE-All-Worker-0051</v>
      </c>
      <c r="B56" s="66"/>
      <c r="C56" s="7" t="s">
        <v>1198</v>
      </c>
      <c r="D56" s="28" t="s">
        <v>78</v>
      </c>
      <c r="E56" s="7" t="s">
        <v>1259</v>
      </c>
      <c r="F56" s="46"/>
      <c r="G56" s="366" t="str">
        <f>Worker_List[[#This Row],[Name of the person engaged]]&amp;"("&amp;Worker_List[[#This Row],[Email address of the person engaged]]&amp;")"</f>
        <v>Ryan Chou()</v>
      </c>
      <c r="H56" s="7"/>
      <c r="I56" s="7"/>
      <c r="J56" s="7"/>
      <c r="K56" s="7">
        <v>55153</v>
      </c>
      <c r="L56" s="7">
        <v>45512</v>
      </c>
      <c r="M56" s="7" t="s">
        <v>1283</v>
      </c>
      <c r="N56" s="7">
        <v>45512</v>
      </c>
      <c r="O56" s="7">
        <v>45512</v>
      </c>
      <c r="P56" s="66" t="s">
        <v>1090</v>
      </c>
      <c r="Q56" s="66" t="s">
        <v>977</v>
      </c>
      <c r="R56" s="66" t="s">
        <v>1322</v>
      </c>
      <c r="S56" s="66" t="s">
        <v>1324</v>
      </c>
      <c r="T56" s="28" t="s">
        <v>1324</v>
      </c>
      <c r="U56" s="28" t="s">
        <v>1324</v>
      </c>
      <c r="V56" s="28" t="s">
        <v>1259</v>
      </c>
      <c r="W56" s="28" t="s">
        <v>1324</v>
      </c>
      <c r="X56" s="7"/>
      <c r="Y56" s="10" t="str">
        <f t="shared" si="2"/>
        <v>CIRQUE</v>
      </c>
      <c r="Z56" s="10" t="str">
        <f t="shared" si="3"/>
        <v>All</v>
      </c>
    </row>
    <row r="57" spans="1:26" ht="15.95" customHeight="1">
      <c r="A57" s="306" t="str">
        <f>Worker_List[[#This Row],[Company]] &amp; "-" &amp; Worker_List[[#This Row],[Department]] &amp; "-" &amp; $I$2 &amp; "-" &amp; TEXT(COUNTIF(INDEX(Worker_List[Department],1):Worker_List[[#This Row],[Department]],Worker_List[[#This Row],[Department]]),"0000")</f>
        <v>CIRQUE-All-Worker-0052</v>
      </c>
      <c r="B57" s="66"/>
      <c r="C57" s="7" t="s">
        <v>1198</v>
      </c>
      <c r="D57" s="28" t="s">
        <v>78</v>
      </c>
      <c r="E57" s="7" t="s">
        <v>1260</v>
      </c>
      <c r="F57" s="46"/>
      <c r="G57" s="366" t="str">
        <f>Worker_List[[#This Row],[Name of the person engaged]]&amp;"("&amp;Worker_List[[#This Row],[Email address of the person engaged]]&amp;")"</f>
        <v>Salute Lee()</v>
      </c>
      <c r="H57" s="7"/>
      <c r="I57" s="7"/>
      <c r="J57" s="7"/>
      <c r="K57" s="7">
        <v>55153</v>
      </c>
      <c r="L57" s="7">
        <v>45512</v>
      </c>
      <c r="M57" s="7" t="s">
        <v>1283</v>
      </c>
      <c r="N57" s="7">
        <v>45512</v>
      </c>
      <c r="O57" s="7">
        <v>45512</v>
      </c>
      <c r="P57" s="66" t="s">
        <v>1090</v>
      </c>
      <c r="Q57" s="66" t="s">
        <v>978</v>
      </c>
      <c r="R57" s="66"/>
      <c r="S57" s="66" t="s">
        <v>1324</v>
      </c>
      <c r="T57" s="28" t="s">
        <v>1324</v>
      </c>
      <c r="U57" s="28" t="s">
        <v>1324</v>
      </c>
      <c r="V57" s="28" t="s">
        <v>1260</v>
      </c>
      <c r="W57" s="28" t="s">
        <v>1324</v>
      </c>
      <c r="X57" s="7"/>
      <c r="Y57" s="10" t="str">
        <f t="shared" si="2"/>
        <v>CIRQUE</v>
      </c>
      <c r="Z57" s="10" t="str">
        <f t="shared" si="3"/>
        <v>All</v>
      </c>
    </row>
    <row r="58" spans="1:26" ht="15.95" customHeight="1">
      <c r="A58" s="306" t="str">
        <f>Worker_List[[#This Row],[Company]] &amp; "-" &amp; Worker_List[[#This Row],[Department]] &amp; "-" &amp; $I$2 &amp; "-" &amp; TEXT(COUNTIF(INDEX(Worker_List[Department],1):Worker_List[[#This Row],[Department]],Worker_List[[#This Row],[Department]]),"0000")</f>
        <v>CIRQUE-All-Worker-0053</v>
      </c>
      <c r="B58" s="66"/>
      <c r="C58" s="7" t="s">
        <v>1198</v>
      </c>
      <c r="D58" s="28" t="s">
        <v>78</v>
      </c>
      <c r="E58" s="7" t="s">
        <v>1261</v>
      </c>
      <c r="F58" s="46"/>
      <c r="G58" s="366" t="str">
        <f>Worker_List[[#This Row],[Name of the person engaged]]&amp;"("&amp;Worker_List[[#This Row],[Email address of the person engaged]]&amp;")"</f>
        <v>Sam Palomino()</v>
      </c>
      <c r="H58" s="7"/>
      <c r="I58" s="7"/>
      <c r="J58" s="7"/>
      <c r="K58" s="7">
        <v>55153</v>
      </c>
      <c r="L58" s="7">
        <v>45512</v>
      </c>
      <c r="M58" s="7" t="s">
        <v>1283</v>
      </c>
      <c r="N58" s="7">
        <v>45512</v>
      </c>
      <c r="O58" s="7">
        <v>45512</v>
      </c>
      <c r="P58" s="66" t="s">
        <v>1090</v>
      </c>
      <c r="Q58" s="66" t="s">
        <v>1297</v>
      </c>
      <c r="R58" s="66"/>
      <c r="S58" s="66" t="s">
        <v>1324</v>
      </c>
      <c r="T58" s="28" t="s">
        <v>1324</v>
      </c>
      <c r="U58" s="28" t="s">
        <v>1324</v>
      </c>
      <c r="V58" s="28" t="s">
        <v>1261</v>
      </c>
      <c r="W58" s="28" t="s">
        <v>1324</v>
      </c>
      <c r="X58" s="7"/>
      <c r="Y58" s="10" t="str">
        <f t="shared" si="2"/>
        <v>CIRQUE</v>
      </c>
      <c r="Z58" s="10" t="str">
        <f t="shared" si="3"/>
        <v>All</v>
      </c>
    </row>
    <row r="59" spans="1:26" ht="15.95" customHeight="1">
      <c r="A59" s="306" t="str">
        <f>Worker_List[[#This Row],[Company]] &amp; "-" &amp; Worker_List[[#This Row],[Department]] &amp; "-" &amp; $I$2 &amp; "-" &amp; TEXT(COUNTIF(INDEX(Worker_List[Department],1):Worker_List[[#This Row],[Department]],Worker_List[[#This Row],[Department]]),"0000")</f>
        <v>CIRQUE-All-Worker-0054</v>
      </c>
      <c r="B59" s="66"/>
      <c r="C59" s="7" t="s">
        <v>1198</v>
      </c>
      <c r="D59" s="28" t="s">
        <v>78</v>
      </c>
      <c r="E59" s="7" t="s">
        <v>1262</v>
      </c>
      <c r="F59" s="46"/>
      <c r="G59" s="366" t="str">
        <f>Worker_List[[#This Row],[Name of the person engaged]]&amp;"("&amp;Worker_List[[#This Row],[Email address of the person engaged]]&amp;")"</f>
        <v>Sara Hymas()</v>
      </c>
      <c r="H59" s="7"/>
      <c r="I59" s="7"/>
      <c r="J59" s="7"/>
      <c r="K59" s="7">
        <v>55153</v>
      </c>
      <c r="L59" s="7">
        <v>45512</v>
      </c>
      <c r="M59" s="7" t="s">
        <v>1283</v>
      </c>
      <c r="N59" s="7">
        <v>45512</v>
      </c>
      <c r="O59" s="7">
        <v>45512</v>
      </c>
      <c r="P59" s="66" t="s">
        <v>1090</v>
      </c>
      <c r="Q59" s="66" t="s">
        <v>979</v>
      </c>
      <c r="R59" s="66"/>
      <c r="S59" s="66" t="s">
        <v>1324</v>
      </c>
      <c r="T59" s="28" t="s">
        <v>1324</v>
      </c>
      <c r="U59" s="28" t="s">
        <v>1324</v>
      </c>
      <c r="V59" s="28" t="s">
        <v>1262</v>
      </c>
      <c r="W59" s="28" t="s">
        <v>1324</v>
      </c>
      <c r="X59" s="7"/>
      <c r="Y59" s="10" t="str">
        <f t="shared" si="2"/>
        <v>CIRQUE</v>
      </c>
      <c r="Z59" s="10" t="str">
        <f t="shared" si="3"/>
        <v>All</v>
      </c>
    </row>
    <row r="60" spans="1:26" ht="15.95" customHeight="1">
      <c r="A60" s="306" t="str">
        <f>Worker_List[[#This Row],[Company]] &amp; "-" &amp; Worker_List[[#This Row],[Department]] &amp; "-" &amp; $I$2 &amp; "-" &amp; TEXT(COUNTIF(INDEX(Worker_List[Department],1):Worker_List[[#This Row],[Department]],Worker_List[[#This Row],[Department]]),"0000")</f>
        <v>CIRQUE-All-Worker-0055</v>
      </c>
      <c r="B60" s="66"/>
      <c r="C60" s="7" t="s">
        <v>1198</v>
      </c>
      <c r="D60" s="28" t="s">
        <v>78</v>
      </c>
      <c r="E60" s="7" t="s">
        <v>1263</v>
      </c>
      <c r="F60" s="46"/>
      <c r="G60" s="366" t="str">
        <f>Worker_List[[#This Row],[Name of the person engaged]]&amp;"("&amp;Worker_List[[#This Row],[Email address of the person engaged]]&amp;")"</f>
        <v>Scott Crowley()</v>
      </c>
      <c r="H60" s="7"/>
      <c r="I60" s="7"/>
      <c r="J60" s="7"/>
      <c r="K60" s="7">
        <v>55153</v>
      </c>
      <c r="L60" s="7">
        <v>45512</v>
      </c>
      <c r="M60" s="7" t="s">
        <v>1283</v>
      </c>
      <c r="N60" s="7">
        <v>45512</v>
      </c>
      <c r="O60" s="7">
        <v>45512</v>
      </c>
      <c r="P60" s="66" t="s">
        <v>1090</v>
      </c>
      <c r="Q60" s="66" t="s">
        <v>982</v>
      </c>
      <c r="R60" s="66"/>
      <c r="S60" s="66" t="s">
        <v>1324</v>
      </c>
      <c r="T60" s="28" t="s">
        <v>1324</v>
      </c>
      <c r="U60" s="28" t="s">
        <v>1324</v>
      </c>
      <c r="V60" s="28" t="s">
        <v>1263</v>
      </c>
      <c r="W60" s="28" t="s">
        <v>1324</v>
      </c>
      <c r="X60" s="7"/>
      <c r="Y60" s="10" t="str">
        <f t="shared" si="2"/>
        <v>CIRQUE</v>
      </c>
      <c r="Z60" s="10" t="str">
        <f t="shared" si="3"/>
        <v>All</v>
      </c>
    </row>
    <row r="61" spans="1:26" ht="15.95" customHeight="1">
      <c r="A61" s="306" t="str">
        <f>Worker_List[[#This Row],[Company]] &amp; "-" &amp; Worker_List[[#This Row],[Department]] &amp; "-" &amp; $I$2 &amp; "-" &amp; TEXT(COUNTIF(INDEX(Worker_List[Department],1):Worker_List[[#This Row],[Department]],Worker_List[[#This Row],[Department]]),"0000")</f>
        <v>CIRQUE-All-Worker-0056</v>
      </c>
      <c r="B61" s="66"/>
      <c r="C61" s="7" t="s">
        <v>1198</v>
      </c>
      <c r="D61" s="28" t="s">
        <v>78</v>
      </c>
      <c r="E61" s="7" t="s">
        <v>1264</v>
      </c>
      <c r="F61" s="46"/>
      <c r="G61" s="366" t="str">
        <f>Worker_List[[#This Row],[Name of the person engaged]]&amp;"("&amp;Worker_List[[#This Row],[Email address of the person engaged]]&amp;")"</f>
        <v>Scott Hampton()</v>
      </c>
      <c r="H61" s="7"/>
      <c r="I61" s="7"/>
      <c r="J61" s="7"/>
      <c r="K61" s="7">
        <v>55153</v>
      </c>
      <c r="L61" s="7">
        <v>45512</v>
      </c>
      <c r="M61" s="7" t="s">
        <v>1283</v>
      </c>
      <c r="N61" s="7">
        <v>45512</v>
      </c>
      <c r="O61" s="7">
        <v>45512</v>
      </c>
      <c r="P61" s="66" t="s">
        <v>1090</v>
      </c>
      <c r="Q61" s="66" t="s">
        <v>983</v>
      </c>
      <c r="R61" s="66"/>
      <c r="S61" s="66" t="s">
        <v>1324</v>
      </c>
      <c r="T61" s="28" t="s">
        <v>1324</v>
      </c>
      <c r="U61" s="28" t="s">
        <v>1324</v>
      </c>
      <c r="V61" s="28" t="s">
        <v>1264</v>
      </c>
      <c r="W61" s="28" t="s">
        <v>1324</v>
      </c>
      <c r="X61" s="7"/>
      <c r="Y61" s="10" t="str">
        <f t="shared" si="2"/>
        <v>CIRQUE</v>
      </c>
      <c r="Z61" s="10" t="str">
        <f t="shared" si="3"/>
        <v>All</v>
      </c>
    </row>
    <row r="62" spans="1:26" ht="15.95" customHeight="1">
      <c r="A62" s="306" t="str">
        <f>Worker_List[[#This Row],[Company]] &amp; "-" &amp; Worker_List[[#This Row],[Department]] &amp; "-" &amp; $I$2 &amp; "-" &amp; TEXT(COUNTIF(INDEX(Worker_List[Department],1):Worker_List[[#This Row],[Department]],Worker_List[[#This Row],[Department]]),"0000")</f>
        <v>CIRQUE-All-Worker-0057</v>
      </c>
      <c r="B62" s="66"/>
      <c r="C62" s="7" t="s">
        <v>1198</v>
      </c>
      <c r="D62" s="28" t="s">
        <v>78</v>
      </c>
      <c r="E62" s="7" t="s">
        <v>1265</v>
      </c>
      <c r="F62" s="46"/>
      <c r="G62" s="366" t="str">
        <f>Worker_List[[#This Row],[Name of the person engaged]]&amp;"("&amp;Worker_List[[#This Row],[Email address of the person engaged]]&amp;")"</f>
        <v>Serge Twagirayezu()</v>
      </c>
      <c r="H62" s="7"/>
      <c r="I62" s="7"/>
      <c r="J62" s="7"/>
      <c r="K62" s="7">
        <v>55153</v>
      </c>
      <c r="L62" s="7">
        <v>45512</v>
      </c>
      <c r="M62" s="7" t="s">
        <v>1283</v>
      </c>
      <c r="N62" s="7">
        <v>45512</v>
      </c>
      <c r="O62" s="7">
        <v>45512</v>
      </c>
      <c r="P62" s="66" t="s">
        <v>1090</v>
      </c>
      <c r="Q62" s="66" t="s">
        <v>969</v>
      </c>
      <c r="R62" s="66"/>
      <c r="S62" s="66" t="s">
        <v>1324</v>
      </c>
      <c r="T62" s="28" t="s">
        <v>1324</v>
      </c>
      <c r="U62" s="28" t="s">
        <v>1324</v>
      </c>
      <c r="V62" s="28" t="s">
        <v>1265</v>
      </c>
      <c r="W62" s="28" t="s">
        <v>1324</v>
      </c>
      <c r="X62" s="7"/>
      <c r="Y62" s="10" t="str">
        <f t="shared" si="2"/>
        <v>CIRQUE</v>
      </c>
      <c r="Z62" s="10" t="str">
        <f t="shared" si="3"/>
        <v>All</v>
      </c>
    </row>
    <row r="63" spans="1:26" ht="15.95" customHeight="1">
      <c r="A63" s="306" t="str">
        <f>Worker_List[[#This Row],[Company]] &amp; "-" &amp; Worker_List[[#This Row],[Department]] &amp; "-" &amp; $I$2 &amp; "-" &amp; TEXT(COUNTIF(INDEX(Worker_List[Department],1):Worker_List[[#This Row],[Department]],Worker_List[[#This Row],[Department]]),"0000")</f>
        <v>CIRQUE-All-Worker-0058</v>
      </c>
      <c r="B63" s="66"/>
      <c r="C63" s="7" t="s">
        <v>1198</v>
      </c>
      <c r="D63" s="28" t="s">
        <v>78</v>
      </c>
      <c r="E63" s="7" t="s">
        <v>1266</v>
      </c>
      <c r="F63" s="46"/>
      <c r="G63" s="366" t="str">
        <f>Worker_List[[#This Row],[Name of the person engaged]]&amp;"("&amp;Worker_List[[#This Row],[Email address of the person engaged]]&amp;")"</f>
        <v>Shane Rose()</v>
      </c>
      <c r="H63" s="7"/>
      <c r="I63" s="7"/>
      <c r="J63" s="7"/>
      <c r="K63" s="7">
        <v>55153</v>
      </c>
      <c r="L63" s="7">
        <v>45512</v>
      </c>
      <c r="M63" s="7" t="s">
        <v>1283</v>
      </c>
      <c r="N63" s="7">
        <v>45512</v>
      </c>
      <c r="O63" s="7">
        <v>45512</v>
      </c>
      <c r="P63" s="66" t="s">
        <v>1090</v>
      </c>
      <c r="Q63" s="66" t="s">
        <v>984</v>
      </c>
      <c r="R63" s="66"/>
      <c r="S63" s="66" t="s">
        <v>1324</v>
      </c>
      <c r="T63" s="28" t="s">
        <v>1324</v>
      </c>
      <c r="U63" s="28" t="s">
        <v>1324</v>
      </c>
      <c r="V63" s="28" t="s">
        <v>1266</v>
      </c>
      <c r="W63" s="28" t="s">
        <v>1324</v>
      </c>
      <c r="X63" s="7"/>
      <c r="Y63" s="10" t="str">
        <f t="shared" si="2"/>
        <v>CIRQUE</v>
      </c>
      <c r="Z63" s="10" t="str">
        <f t="shared" si="3"/>
        <v>All</v>
      </c>
    </row>
    <row r="64" spans="1:26" ht="15.95" customHeight="1">
      <c r="A64" s="306" t="str">
        <f>Worker_List[[#This Row],[Company]] &amp; "-" &amp; Worker_List[[#This Row],[Department]] &amp; "-" &amp; $I$2 &amp; "-" &amp; TEXT(COUNTIF(INDEX(Worker_List[Department],1):Worker_List[[#This Row],[Department]],Worker_List[[#This Row],[Department]]),"0000")</f>
        <v>CIRQUE-All-Worker-0059</v>
      </c>
      <c r="B64" s="66"/>
      <c r="C64" s="7" t="s">
        <v>1198</v>
      </c>
      <c r="D64" s="28" t="s">
        <v>78</v>
      </c>
      <c r="E64" s="7" t="s">
        <v>1267</v>
      </c>
      <c r="F64" s="46"/>
      <c r="G64" s="366" t="str">
        <f>Worker_List[[#This Row],[Name of the person engaged]]&amp;"("&amp;Worker_List[[#This Row],[Email address of the person engaged]]&amp;")"</f>
        <v>Shayne Zhai()</v>
      </c>
      <c r="H64" s="7"/>
      <c r="I64" s="7"/>
      <c r="J64" s="7"/>
      <c r="K64" s="7">
        <v>55153</v>
      </c>
      <c r="L64" s="7">
        <v>45512</v>
      </c>
      <c r="M64" s="7" t="s">
        <v>1283</v>
      </c>
      <c r="N64" s="7">
        <v>45512</v>
      </c>
      <c r="O64" s="7">
        <v>45512</v>
      </c>
      <c r="P64" s="66" t="s">
        <v>1090</v>
      </c>
      <c r="Q64" s="66" t="s">
        <v>1298</v>
      </c>
      <c r="R64" s="66"/>
      <c r="S64" s="66" t="s">
        <v>1324</v>
      </c>
      <c r="T64" s="28" t="s">
        <v>1324</v>
      </c>
      <c r="U64" s="28" t="s">
        <v>1324</v>
      </c>
      <c r="V64" s="28" t="s">
        <v>1267</v>
      </c>
      <c r="W64" s="28" t="s">
        <v>1324</v>
      </c>
      <c r="X64" s="7"/>
      <c r="Y64" s="10" t="str">
        <f t="shared" si="2"/>
        <v>CIRQUE</v>
      </c>
      <c r="Z64" s="10" t="str">
        <f t="shared" si="3"/>
        <v>All</v>
      </c>
    </row>
    <row r="65" spans="1:26" ht="15.95" customHeight="1">
      <c r="A65" s="306" t="str">
        <f>Worker_List[[#This Row],[Company]] &amp; "-" &amp; Worker_List[[#This Row],[Department]] &amp; "-" &amp; $I$2 &amp; "-" &amp; TEXT(COUNTIF(INDEX(Worker_List[Department],1):Worker_List[[#This Row],[Department]],Worker_List[[#This Row],[Department]]),"0000")</f>
        <v>CIRQUE-All-Worker-0060</v>
      </c>
      <c r="B65" s="66"/>
      <c r="C65" s="7" t="s">
        <v>1198</v>
      </c>
      <c r="D65" s="28" t="s">
        <v>78</v>
      </c>
      <c r="E65" s="7" t="s">
        <v>1268</v>
      </c>
      <c r="F65" s="46"/>
      <c r="G65" s="366" t="str">
        <f>Worker_List[[#This Row],[Name of the person engaged]]&amp;"("&amp;Worker_List[[#This Row],[Email address of the person engaged]]&amp;")"</f>
        <v>Shuang Chen()</v>
      </c>
      <c r="H65" s="7"/>
      <c r="I65" s="7"/>
      <c r="J65" s="7"/>
      <c r="K65" s="7">
        <v>55153</v>
      </c>
      <c r="L65" s="7">
        <v>45512</v>
      </c>
      <c r="M65" s="7" t="s">
        <v>1283</v>
      </c>
      <c r="N65" s="7">
        <v>45512</v>
      </c>
      <c r="O65" s="7">
        <v>45512</v>
      </c>
      <c r="P65" s="66" t="s">
        <v>1090</v>
      </c>
      <c r="Q65" s="66" t="s">
        <v>1299</v>
      </c>
      <c r="R65" s="66"/>
      <c r="S65" s="66" t="s">
        <v>1324</v>
      </c>
      <c r="T65" s="28" t="s">
        <v>1324</v>
      </c>
      <c r="U65" s="28" t="s">
        <v>1324</v>
      </c>
      <c r="V65" s="28" t="s">
        <v>1268</v>
      </c>
      <c r="W65" s="28" t="s">
        <v>1324</v>
      </c>
      <c r="X65" s="7"/>
      <c r="Y65" s="10" t="str">
        <f t="shared" si="2"/>
        <v>CIRQUE</v>
      </c>
      <c r="Z65" s="10" t="str">
        <f t="shared" si="3"/>
        <v>All</v>
      </c>
    </row>
    <row r="66" spans="1:26" ht="15.95" customHeight="1">
      <c r="A66" s="306" t="str">
        <f>Worker_List[[#This Row],[Company]] &amp; "-" &amp; Worker_List[[#This Row],[Department]] &amp; "-" &amp; $I$2 &amp; "-" &amp; TEXT(COUNTIF(INDEX(Worker_List[Department],1):Worker_List[[#This Row],[Department]],Worker_List[[#This Row],[Department]]),"0000")</f>
        <v>CIRQUE-All-Worker-0061</v>
      </c>
      <c r="B66" s="66"/>
      <c r="C66" s="7" t="s">
        <v>1198</v>
      </c>
      <c r="D66" s="28" t="s">
        <v>78</v>
      </c>
      <c r="E66" s="7" t="s">
        <v>1269</v>
      </c>
      <c r="F66" s="46"/>
      <c r="G66" s="366" t="str">
        <f>Worker_List[[#This Row],[Name of the person engaged]]&amp;"("&amp;Worker_List[[#This Row],[Email address of the person engaged]]&amp;")"</f>
        <v>Sigrid Milian()</v>
      </c>
      <c r="H66" s="7"/>
      <c r="I66" s="7"/>
      <c r="J66" s="7"/>
      <c r="K66" s="7">
        <v>55153</v>
      </c>
      <c r="L66" s="7">
        <v>45512</v>
      </c>
      <c r="M66" s="7" t="s">
        <v>1283</v>
      </c>
      <c r="N66" s="7">
        <v>45512</v>
      </c>
      <c r="O66" s="7">
        <v>45512</v>
      </c>
      <c r="P66" s="66" t="s">
        <v>1090</v>
      </c>
      <c r="Q66" s="66" t="s">
        <v>985</v>
      </c>
      <c r="R66" s="66"/>
      <c r="S66" s="66" t="s">
        <v>1324</v>
      </c>
      <c r="T66" s="28" t="s">
        <v>1324</v>
      </c>
      <c r="U66" s="28" t="s">
        <v>1324</v>
      </c>
      <c r="V66" s="28" t="s">
        <v>1269</v>
      </c>
      <c r="W66" s="28" t="s">
        <v>1324</v>
      </c>
      <c r="X66" s="7"/>
      <c r="Y66" s="10" t="str">
        <f t="shared" si="2"/>
        <v>CIRQUE</v>
      </c>
      <c r="Z66" s="10" t="str">
        <f t="shared" si="3"/>
        <v>All</v>
      </c>
    </row>
    <row r="67" spans="1:26" ht="15.95" customHeight="1">
      <c r="A67" s="306" t="str">
        <f>Worker_List[[#This Row],[Company]] &amp; "-" &amp; Worker_List[[#This Row],[Department]] &amp; "-" &amp; $I$2 &amp; "-" &amp; TEXT(COUNTIF(INDEX(Worker_List[Department],1):Worker_List[[#This Row],[Department]],Worker_List[[#This Row],[Department]]),"0000")</f>
        <v>CIRQUE-All-Worker-0062</v>
      </c>
      <c r="B67" s="66"/>
      <c r="C67" s="7" t="s">
        <v>1198</v>
      </c>
      <c r="D67" s="28" t="s">
        <v>78</v>
      </c>
      <c r="E67" s="7" t="s">
        <v>1270</v>
      </c>
      <c r="F67" s="46"/>
      <c r="G67" s="366" t="str">
        <f>Worker_List[[#This Row],[Name of the person engaged]]&amp;"("&amp;Worker_List[[#This Row],[Email address of the person engaged]]&amp;")"</f>
        <v>Stella Pai()</v>
      </c>
      <c r="H67" s="7"/>
      <c r="I67" s="7"/>
      <c r="J67" s="7"/>
      <c r="K67" s="7">
        <v>55153</v>
      </c>
      <c r="L67" s="7">
        <v>45512</v>
      </c>
      <c r="M67" s="7" t="s">
        <v>1283</v>
      </c>
      <c r="N67" s="7">
        <v>45512</v>
      </c>
      <c r="O67" s="7">
        <v>45512</v>
      </c>
      <c r="P67" s="66" t="s">
        <v>1090</v>
      </c>
      <c r="Q67" s="66" t="s">
        <v>986</v>
      </c>
      <c r="R67" s="66"/>
      <c r="S67" s="66" t="s">
        <v>1324</v>
      </c>
      <c r="T67" s="28" t="s">
        <v>1324</v>
      </c>
      <c r="U67" s="28" t="s">
        <v>1324</v>
      </c>
      <c r="V67" s="28" t="s">
        <v>1270</v>
      </c>
      <c r="W67" s="28" t="s">
        <v>1324</v>
      </c>
      <c r="X67" s="7"/>
      <c r="Y67" s="10" t="str">
        <f t="shared" si="2"/>
        <v>CIRQUE</v>
      </c>
      <c r="Z67" s="10" t="str">
        <f t="shared" si="3"/>
        <v>All</v>
      </c>
    </row>
    <row r="68" spans="1:26" ht="15.95" customHeight="1">
      <c r="A68" s="306" t="str">
        <f>Worker_List[[#This Row],[Company]] &amp; "-" &amp; Worker_List[[#This Row],[Department]] &amp; "-" &amp; $I$2 &amp; "-" &amp; TEXT(COUNTIF(INDEX(Worker_List[Department],1):Worker_List[[#This Row],[Department]],Worker_List[[#This Row],[Department]]),"0000")</f>
        <v>CIRQUE-All-Worker-0063</v>
      </c>
      <c r="B68" s="66"/>
      <c r="C68" s="7" t="s">
        <v>1198</v>
      </c>
      <c r="D68" s="28" t="s">
        <v>78</v>
      </c>
      <c r="E68" s="7" t="s">
        <v>1271</v>
      </c>
      <c r="F68" s="46"/>
      <c r="G68" s="366" t="str">
        <f>Worker_List[[#This Row],[Name of the person engaged]]&amp;"("&amp;Worker_List[[#This Row],[Email address of the person engaged]]&amp;")"</f>
        <v>Steve Austin()</v>
      </c>
      <c r="H68" s="7"/>
      <c r="I68" s="7"/>
      <c r="J68" s="7"/>
      <c r="K68" s="7">
        <v>55153</v>
      </c>
      <c r="L68" s="7">
        <v>45512</v>
      </c>
      <c r="M68" s="7" t="s">
        <v>1283</v>
      </c>
      <c r="N68" s="7">
        <v>45512</v>
      </c>
      <c r="O68" s="7">
        <v>45512</v>
      </c>
      <c r="P68" s="66" t="s">
        <v>1090</v>
      </c>
      <c r="Q68" s="66" t="s">
        <v>980</v>
      </c>
      <c r="R68" s="66"/>
      <c r="S68" s="66" t="s">
        <v>1324</v>
      </c>
      <c r="T68" s="28" t="s">
        <v>1324</v>
      </c>
      <c r="U68" s="28" t="s">
        <v>1324</v>
      </c>
      <c r="V68" s="28" t="s">
        <v>1271</v>
      </c>
      <c r="W68" s="28" t="s">
        <v>1324</v>
      </c>
      <c r="X68" s="7"/>
      <c r="Y68" s="10" t="str">
        <f t="shared" si="2"/>
        <v>CIRQUE</v>
      </c>
      <c r="Z68" s="10" t="str">
        <f t="shared" si="3"/>
        <v>All</v>
      </c>
    </row>
    <row r="69" spans="1:26" ht="15.95" customHeight="1">
      <c r="A69" s="306" t="str">
        <f>Worker_List[[#This Row],[Company]] &amp; "-" &amp; Worker_List[[#This Row],[Department]] &amp; "-" &amp; $I$2 &amp; "-" &amp; TEXT(COUNTIF(INDEX(Worker_List[Department],1):Worker_List[[#This Row],[Department]],Worker_List[[#This Row],[Department]]),"0000")</f>
        <v>CIRQUE-All-Worker-0064</v>
      </c>
      <c r="B69" s="66"/>
      <c r="C69" s="7" t="s">
        <v>1198</v>
      </c>
      <c r="D69" s="28" t="s">
        <v>78</v>
      </c>
      <c r="E69" s="7" t="s">
        <v>893</v>
      </c>
      <c r="F69" s="46"/>
      <c r="G69" s="366" t="str">
        <f>Worker_List[[#This Row],[Name of the person engaged]]&amp;"("&amp;Worker_List[[#This Row],[Email address of the person engaged]]&amp;")"</f>
        <v>Steve Baker()</v>
      </c>
      <c r="H69" s="7"/>
      <c r="I69" s="7"/>
      <c r="J69" s="7"/>
      <c r="K69" s="7">
        <v>55153</v>
      </c>
      <c r="L69" s="7">
        <v>45512</v>
      </c>
      <c r="M69" s="7" t="s">
        <v>1283</v>
      </c>
      <c r="N69" s="7">
        <v>45512</v>
      </c>
      <c r="O69" s="7">
        <v>45512</v>
      </c>
      <c r="P69" s="66" t="s">
        <v>1090</v>
      </c>
      <c r="Q69" s="66" t="s">
        <v>981</v>
      </c>
      <c r="R69" s="66"/>
      <c r="S69" s="66" t="s">
        <v>1324</v>
      </c>
      <c r="T69" s="28" t="s">
        <v>1324</v>
      </c>
      <c r="U69" s="28" t="s">
        <v>1324</v>
      </c>
      <c r="V69" s="28" t="s">
        <v>893</v>
      </c>
      <c r="W69" s="28" t="s">
        <v>1324</v>
      </c>
      <c r="X69" s="7"/>
      <c r="Y69" s="10" t="str">
        <f t="shared" si="2"/>
        <v>CIRQUE</v>
      </c>
      <c r="Z69" s="10" t="str">
        <f t="shared" si="3"/>
        <v>All</v>
      </c>
    </row>
    <row r="70" spans="1:26" ht="15.95" customHeight="1">
      <c r="A70" s="306" t="str">
        <f>Worker_List[[#This Row],[Company]] &amp; "-" &amp; Worker_List[[#This Row],[Department]] &amp; "-" &amp; $I$2 &amp; "-" &amp; TEXT(COUNTIF(INDEX(Worker_List[Department],1):Worker_List[[#This Row],[Department]],Worker_List[[#This Row],[Department]]),"0000")</f>
        <v>CIRQUE-All-Worker-0065</v>
      </c>
      <c r="B70" s="66"/>
      <c r="C70" s="7" t="s">
        <v>1198</v>
      </c>
      <c r="D70" s="28" t="s">
        <v>78</v>
      </c>
      <c r="E70" s="7" t="s">
        <v>1272</v>
      </c>
      <c r="F70" s="46"/>
      <c r="G70" s="366" t="str">
        <f>Worker_List[[#This Row],[Name of the person engaged]]&amp;"("&amp;Worker_List[[#This Row],[Email address of the person engaged]]&amp;")"</f>
        <v>Steve Ball()</v>
      </c>
      <c r="H70" s="7"/>
      <c r="I70" s="7"/>
      <c r="J70" s="7"/>
      <c r="K70" s="7">
        <v>55153</v>
      </c>
      <c r="L70" s="7">
        <v>45512</v>
      </c>
      <c r="M70" s="7" t="s">
        <v>1283</v>
      </c>
      <c r="N70" s="7">
        <v>45512</v>
      </c>
      <c r="O70" s="7">
        <v>45512</v>
      </c>
      <c r="P70" s="66" t="s">
        <v>1090</v>
      </c>
      <c r="Q70" s="66" t="s">
        <v>988</v>
      </c>
      <c r="R70" s="66"/>
      <c r="S70" s="66" t="s">
        <v>1324</v>
      </c>
      <c r="T70" s="28" t="s">
        <v>1324</v>
      </c>
      <c r="U70" s="28" t="s">
        <v>1324</v>
      </c>
      <c r="V70" s="28" t="s">
        <v>1272</v>
      </c>
      <c r="W70" s="28" t="s">
        <v>1324</v>
      </c>
      <c r="X70" s="7"/>
      <c r="Y70" s="10" t="str">
        <f t="shared" si="2"/>
        <v>CIRQUE</v>
      </c>
      <c r="Z70" s="10" t="str">
        <f t="shared" si="3"/>
        <v>All</v>
      </c>
    </row>
    <row r="71" spans="1:26" ht="15.95" customHeight="1">
      <c r="A71" s="306" t="str">
        <f>Worker_List[[#This Row],[Company]] &amp; "-" &amp; Worker_List[[#This Row],[Department]] &amp; "-" &amp; $I$2 &amp; "-" &amp; TEXT(COUNTIF(INDEX(Worker_List[Department],1):Worker_List[[#This Row],[Department]],Worker_List[[#This Row],[Department]]),"0000")</f>
        <v>CIRQUE-All-Worker-0066</v>
      </c>
      <c r="B71" s="66"/>
      <c r="C71" s="7" t="s">
        <v>1198</v>
      </c>
      <c r="D71" s="28" t="s">
        <v>78</v>
      </c>
      <c r="E71" s="7" t="s">
        <v>1151</v>
      </c>
      <c r="F71" s="46"/>
      <c r="G71" s="366" t="str">
        <f>Worker_List[[#This Row],[Name of the person engaged]]&amp;"("&amp;Worker_List[[#This Row],[Email address of the person engaged]]&amp;")"</f>
        <v>Steve Noall()</v>
      </c>
      <c r="H71" s="7"/>
      <c r="I71" s="7"/>
      <c r="J71" s="7"/>
      <c r="K71" s="7">
        <v>55153</v>
      </c>
      <c r="L71" s="7">
        <v>45512</v>
      </c>
      <c r="M71" s="7" t="s">
        <v>1283</v>
      </c>
      <c r="N71" s="7">
        <v>45512</v>
      </c>
      <c r="O71" s="7">
        <v>45512</v>
      </c>
      <c r="P71" s="66" t="s">
        <v>1090</v>
      </c>
      <c r="Q71" s="66" t="s">
        <v>987</v>
      </c>
      <c r="R71" s="66"/>
      <c r="S71" s="66" t="s">
        <v>1324</v>
      </c>
      <c r="T71" s="28" t="s">
        <v>1324</v>
      </c>
      <c r="U71" s="28" t="s">
        <v>1324</v>
      </c>
      <c r="V71" s="28" t="s">
        <v>1151</v>
      </c>
      <c r="W71" s="28" t="s">
        <v>1324</v>
      </c>
      <c r="X71" s="7"/>
      <c r="Y71" s="10" t="str">
        <f t="shared" ref="Y71:Y78" si="4">$F$2</f>
        <v>CIRQUE</v>
      </c>
      <c r="Z71" s="10" t="str">
        <f t="shared" ref="Z71:Z78" si="5">$H$2</f>
        <v>All</v>
      </c>
    </row>
    <row r="72" spans="1:26" ht="15.95" customHeight="1">
      <c r="A72" s="306" t="str">
        <f>Worker_List[[#This Row],[Company]] &amp; "-" &amp; Worker_List[[#This Row],[Department]] &amp; "-" &amp; $I$2 &amp; "-" &amp; TEXT(COUNTIF(INDEX(Worker_List[Department],1):Worker_List[[#This Row],[Department]],Worker_List[[#This Row],[Department]]),"0000")</f>
        <v>CIRQUE-All-Worker-0067</v>
      </c>
      <c r="B72" s="66"/>
      <c r="C72" s="7" t="s">
        <v>1198</v>
      </c>
      <c r="D72" s="28" t="s">
        <v>78</v>
      </c>
      <c r="E72" s="7" t="s">
        <v>1273</v>
      </c>
      <c r="F72" s="46"/>
      <c r="G72" s="366" t="str">
        <f>Worker_List[[#This Row],[Name of the person engaged]]&amp;"("&amp;Worker_List[[#This Row],[Email address of the person engaged]]&amp;")"</f>
        <v>Steven Varrato()</v>
      </c>
      <c r="H72" s="7"/>
      <c r="I72" s="7"/>
      <c r="J72" s="7"/>
      <c r="K72" s="7">
        <v>55153</v>
      </c>
      <c r="L72" s="7">
        <v>45512</v>
      </c>
      <c r="M72" s="7" t="s">
        <v>1283</v>
      </c>
      <c r="N72" s="7">
        <v>45512</v>
      </c>
      <c r="O72" s="7">
        <v>45512</v>
      </c>
      <c r="P72" s="66" t="s">
        <v>1090</v>
      </c>
      <c r="Q72" s="66" t="s">
        <v>989</v>
      </c>
      <c r="R72" s="66"/>
      <c r="S72" s="66" t="s">
        <v>1324</v>
      </c>
      <c r="T72" s="28" t="s">
        <v>1324</v>
      </c>
      <c r="U72" s="28" t="s">
        <v>1324</v>
      </c>
      <c r="V72" s="28" t="s">
        <v>1273</v>
      </c>
      <c r="W72" s="28" t="s">
        <v>1324</v>
      </c>
      <c r="X72" s="7"/>
      <c r="Y72" s="10" t="str">
        <f t="shared" si="4"/>
        <v>CIRQUE</v>
      </c>
      <c r="Z72" s="10" t="str">
        <f t="shared" si="5"/>
        <v>All</v>
      </c>
    </row>
    <row r="73" spans="1:26" ht="15.95" customHeight="1">
      <c r="A73" s="306" t="str">
        <f>Worker_List[[#This Row],[Company]] &amp; "-" &amp; Worker_List[[#This Row],[Department]] &amp; "-" &amp; $I$2 &amp; "-" &amp; TEXT(COUNTIF(INDEX(Worker_List[Department],1):Worker_List[[#This Row],[Department]],Worker_List[[#This Row],[Department]]),"0000")</f>
        <v>CIRQUE-All-Worker-0068</v>
      </c>
      <c r="B73" s="66"/>
      <c r="C73" s="7" t="s">
        <v>1198</v>
      </c>
      <c r="D73" s="28" t="s">
        <v>78</v>
      </c>
      <c r="E73" s="7" t="s">
        <v>1274</v>
      </c>
      <c r="F73" s="46"/>
      <c r="G73" s="366" t="str">
        <f>Worker_List[[#This Row],[Name of the person engaged]]&amp;"("&amp;Worker_List[[#This Row],[Email address of the person engaged]]&amp;")"</f>
        <v>Tim Redford()</v>
      </c>
      <c r="H73" s="7"/>
      <c r="I73" s="7"/>
      <c r="J73" s="7"/>
      <c r="K73" s="7">
        <v>55153</v>
      </c>
      <c r="L73" s="7">
        <v>45512</v>
      </c>
      <c r="M73" s="7" t="s">
        <v>1283</v>
      </c>
      <c r="N73" s="7">
        <v>45512</v>
      </c>
      <c r="O73" s="7">
        <v>45512</v>
      </c>
      <c r="P73" s="66" t="s">
        <v>1090</v>
      </c>
      <c r="Q73" s="66" t="s">
        <v>1300</v>
      </c>
      <c r="R73" s="66"/>
      <c r="S73" s="66" t="s">
        <v>1324</v>
      </c>
      <c r="T73" s="28" t="s">
        <v>1324</v>
      </c>
      <c r="U73" s="28" t="s">
        <v>1324</v>
      </c>
      <c r="V73" s="28" t="s">
        <v>1274</v>
      </c>
      <c r="W73" s="28" t="s">
        <v>1324</v>
      </c>
      <c r="X73" s="7"/>
      <c r="Y73" s="10" t="str">
        <f t="shared" si="4"/>
        <v>CIRQUE</v>
      </c>
      <c r="Z73" s="10" t="str">
        <f t="shared" si="5"/>
        <v>All</v>
      </c>
    </row>
    <row r="74" spans="1:26" ht="15.95" customHeight="1">
      <c r="A74" s="306" t="str">
        <f>Worker_List[[#This Row],[Company]] &amp; "-" &amp; Worker_List[[#This Row],[Department]] &amp; "-" &amp; $I$2 &amp; "-" &amp; TEXT(COUNTIF(INDEX(Worker_List[Department],1):Worker_List[[#This Row],[Department]],Worker_List[[#This Row],[Department]]),"0000")</f>
        <v>CIRQUE-All-Worker-0069</v>
      </c>
      <c r="B74" s="66"/>
      <c r="C74" s="7" t="s">
        <v>1198</v>
      </c>
      <c r="D74" s="28" t="s">
        <v>78</v>
      </c>
      <c r="E74" s="7" t="s">
        <v>1275</v>
      </c>
      <c r="F74" s="46"/>
      <c r="G74" s="366" t="str">
        <f>Worker_List[[#This Row],[Name of the person engaged]]&amp;"("&amp;Worker_List[[#This Row],[Email address of the person engaged]]&amp;")"</f>
        <v>Todd Rich()</v>
      </c>
      <c r="H74" s="7"/>
      <c r="I74" s="7"/>
      <c r="J74" s="7"/>
      <c r="K74" s="7">
        <v>55153</v>
      </c>
      <c r="L74" s="7">
        <v>45512</v>
      </c>
      <c r="M74" s="7" t="s">
        <v>1283</v>
      </c>
      <c r="N74" s="7">
        <v>45512</v>
      </c>
      <c r="O74" s="7">
        <v>45512</v>
      </c>
      <c r="P74" s="66" t="s">
        <v>1090</v>
      </c>
      <c r="Q74" s="66" t="s">
        <v>990</v>
      </c>
      <c r="R74" s="66"/>
      <c r="S74" s="66" t="s">
        <v>1324</v>
      </c>
      <c r="T74" s="28" t="s">
        <v>1324</v>
      </c>
      <c r="U74" s="28" t="s">
        <v>1324</v>
      </c>
      <c r="V74" s="28" t="s">
        <v>1275</v>
      </c>
      <c r="W74" s="28" t="s">
        <v>1324</v>
      </c>
      <c r="X74" s="7"/>
      <c r="Y74" s="10" t="str">
        <f t="shared" si="4"/>
        <v>CIRQUE</v>
      </c>
      <c r="Z74" s="10" t="str">
        <f t="shared" si="5"/>
        <v>All</v>
      </c>
    </row>
    <row r="75" spans="1:26" ht="15.95" customHeight="1">
      <c r="A75" s="306" t="str">
        <f>Worker_List[[#This Row],[Company]] &amp; "-" &amp; Worker_List[[#This Row],[Department]] &amp; "-" &amp; $I$2 &amp; "-" &amp; TEXT(COUNTIF(INDEX(Worker_List[Department],1):Worker_List[[#This Row],[Department]],Worker_List[[#This Row],[Department]]),"0000")</f>
        <v>CIRQUE-All-Worker-0070</v>
      </c>
      <c r="B75" s="66"/>
      <c r="C75" s="7" t="s">
        <v>1198</v>
      </c>
      <c r="D75" s="28" t="s">
        <v>78</v>
      </c>
      <c r="E75" s="7" t="s">
        <v>1276</v>
      </c>
      <c r="F75" s="46"/>
      <c r="G75" s="366" t="str">
        <f>Worker_List[[#This Row],[Name of the person engaged]]&amp;"("&amp;Worker_List[[#This Row],[Email address of the person engaged]]&amp;")"</f>
        <v>Tyson West()</v>
      </c>
      <c r="H75" s="7"/>
      <c r="I75" s="7"/>
      <c r="J75" s="7"/>
      <c r="K75" s="7">
        <v>55153</v>
      </c>
      <c r="L75" s="7">
        <v>45512</v>
      </c>
      <c r="M75" s="7" t="s">
        <v>1283</v>
      </c>
      <c r="N75" s="7">
        <v>45512</v>
      </c>
      <c r="O75" s="7">
        <v>45512</v>
      </c>
      <c r="P75" s="66" t="s">
        <v>1090</v>
      </c>
      <c r="Q75" s="66" t="s">
        <v>991</v>
      </c>
      <c r="R75" s="66"/>
      <c r="S75" s="66" t="s">
        <v>1324</v>
      </c>
      <c r="T75" s="28" t="s">
        <v>1324</v>
      </c>
      <c r="U75" s="28" t="s">
        <v>1324</v>
      </c>
      <c r="V75" s="28" t="s">
        <v>1276</v>
      </c>
      <c r="W75" s="28" t="s">
        <v>1324</v>
      </c>
      <c r="X75" s="7"/>
      <c r="Y75" s="10" t="str">
        <f t="shared" si="4"/>
        <v>CIRQUE</v>
      </c>
      <c r="Z75" s="10" t="str">
        <f t="shared" si="5"/>
        <v>All</v>
      </c>
    </row>
    <row r="76" spans="1:26" ht="15.95" customHeight="1">
      <c r="A76" s="306" t="str">
        <f>Worker_List[[#This Row],[Company]] &amp; "-" &amp; Worker_List[[#This Row],[Department]] &amp; "-" &amp; $I$2 &amp; "-" &amp; TEXT(COUNTIF(INDEX(Worker_List[Department],1):Worker_List[[#This Row],[Department]],Worker_List[[#This Row],[Department]]),"0000")</f>
        <v>CIRQUE-All-Worker-0071</v>
      </c>
      <c r="B76" s="66"/>
      <c r="C76" s="7" t="s">
        <v>1198</v>
      </c>
      <c r="D76" s="28" t="s">
        <v>78</v>
      </c>
      <c r="E76" s="7" t="s">
        <v>1277</v>
      </c>
      <c r="F76" s="46"/>
      <c r="G76" s="366" t="str">
        <f>Worker_List[[#This Row],[Name of the person engaged]]&amp;"("&amp;Worker_List[[#This Row],[Email address of the person engaged]]&amp;")"</f>
        <v>Vadim Klishko()</v>
      </c>
      <c r="H76" s="7"/>
      <c r="I76" s="7"/>
      <c r="J76" s="7"/>
      <c r="K76" s="7">
        <v>55153</v>
      </c>
      <c r="L76" s="7">
        <v>45512</v>
      </c>
      <c r="M76" s="7" t="s">
        <v>1283</v>
      </c>
      <c r="N76" s="7">
        <v>45512</v>
      </c>
      <c r="O76" s="7">
        <v>45512</v>
      </c>
      <c r="P76" s="66" t="s">
        <v>1090</v>
      </c>
      <c r="Q76" s="66" t="s">
        <v>992</v>
      </c>
      <c r="R76" s="66"/>
      <c r="S76" s="66" t="s">
        <v>1324</v>
      </c>
      <c r="T76" s="28" t="s">
        <v>1324</v>
      </c>
      <c r="U76" s="28" t="s">
        <v>1324</v>
      </c>
      <c r="V76" s="28" t="s">
        <v>1277</v>
      </c>
      <c r="W76" s="28" t="s">
        <v>1324</v>
      </c>
      <c r="X76" s="7"/>
      <c r="Y76" s="10" t="str">
        <f t="shared" si="4"/>
        <v>CIRQUE</v>
      </c>
      <c r="Z76" s="10" t="str">
        <f t="shared" si="5"/>
        <v>All</v>
      </c>
    </row>
    <row r="77" spans="1:26" ht="15.95" customHeight="1">
      <c r="A77" s="306" t="str">
        <f>Worker_List[[#This Row],[Company]] &amp; "-" &amp; Worker_List[[#This Row],[Department]] &amp; "-" &amp; $I$2 &amp; "-" &amp; TEXT(COUNTIF(INDEX(Worker_List[Department],1):Worker_List[[#This Row],[Department]],Worker_List[[#This Row],[Department]]),"0000")</f>
        <v>CIRQUE-All-Worker-0072</v>
      </c>
      <c r="B77" s="66"/>
      <c r="C77" s="7" t="s">
        <v>1198</v>
      </c>
      <c r="D77" s="28" t="s">
        <v>78</v>
      </c>
      <c r="E77" s="7" t="s">
        <v>1278</v>
      </c>
      <c r="F77" s="46"/>
      <c r="G77" s="366" t="str">
        <f>Worker_List[[#This Row],[Name of the person engaged]]&amp;"("&amp;Worker_List[[#This Row],[Email address of the person engaged]]&amp;")"</f>
        <v>Wayland Duncan()</v>
      </c>
      <c r="H77" s="7"/>
      <c r="I77" s="7"/>
      <c r="J77" s="7"/>
      <c r="K77" s="7">
        <v>55153</v>
      </c>
      <c r="L77" s="7">
        <v>45512</v>
      </c>
      <c r="M77" s="7" t="s">
        <v>1283</v>
      </c>
      <c r="N77" s="7">
        <v>45512</v>
      </c>
      <c r="O77" s="7">
        <v>45512</v>
      </c>
      <c r="P77" s="66" t="s">
        <v>1090</v>
      </c>
      <c r="Q77" s="66" t="s">
        <v>993</v>
      </c>
      <c r="R77" s="66"/>
      <c r="S77" s="66" t="s">
        <v>1324</v>
      </c>
      <c r="T77" s="28" t="s">
        <v>1324</v>
      </c>
      <c r="U77" s="28" t="s">
        <v>1324</v>
      </c>
      <c r="V77" s="28" t="s">
        <v>1278</v>
      </c>
      <c r="W77" s="28" t="s">
        <v>1324</v>
      </c>
      <c r="X77" s="7"/>
      <c r="Y77" s="10" t="str">
        <f t="shared" si="4"/>
        <v>CIRQUE</v>
      </c>
      <c r="Z77" s="10" t="str">
        <f t="shared" si="5"/>
        <v>All</v>
      </c>
    </row>
    <row r="78" spans="1:26" ht="15.95" customHeight="1">
      <c r="A78" s="367" t="str">
        <f>Worker_List[[#This Row],[Company]] &amp; "-" &amp; Worker_List[[#This Row],[Department]] &amp; "-" &amp; $I$2 &amp; "-" &amp; TEXT(COUNTIF(INDEX(Worker_List[Department],1):Worker_List[[#This Row],[Department]],Worker_List[[#This Row],[Department]]),"0000")</f>
        <v>CIRQUE-All-Worker-0073</v>
      </c>
      <c r="B78" s="348"/>
      <c r="C78" s="14" t="s">
        <v>1198</v>
      </c>
      <c r="D78" s="349" t="s">
        <v>78</v>
      </c>
      <c r="E78" s="14" t="s">
        <v>1279</v>
      </c>
      <c r="F78" s="368"/>
      <c r="G78" s="369" t="str">
        <f>Worker_List[[#This Row],[Name of the person engaged]]&amp;"("&amp;Worker_List[[#This Row],[Email address of the person engaged]]&amp;")"</f>
        <v>Yin Hsiao()</v>
      </c>
      <c r="H78" s="14"/>
      <c r="I78" s="14"/>
      <c r="J78" s="14"/>
      <c r="K78" s="14">
        <v>55153</v>
      </c>
      <c r="L78" s="14"/>
      <c r="M78" s="14" t="s">
        <v>1283</v>
      </c>
      <c r="N78" s="14"/>
      <c r="O78" s="14"/>
      <c r="P78" s="348" t="s">
        <v>1090</v>
      </c>
      <c r="Q78" s="348" t="s">
        <v>1301</v>
      </c>
      <c r="R78" s="348" t="s">
        <v>1323</v>
      </c>
      <c r="S78" s="348" t="s">
        <v>1324</v>
      </c>
      <c r="T78" s="349" t="s">
        <v>1324</v>
      </c>
      <c r="U78" s="349" t="s">
        <v>1324</v>
      </c>
      <c r="V78" s="349" t="s">
        <v>1279</v>
      </c>
      <c r="W78" s="349" t="s">
        <v>1324</v>
      </c>
      <c r="X78" s="14"/>
      <c r="Y78" s="345" t="str">
        <f t="shared" si="4"/>
        <v>CIRQUE</v>
      </c>
      <c r="Z78" s="345" t="str">
        <f t="shared" si="5"/>
        <v>All</v>
      </c>
    </row>
  </sheetData>
  <phoneticPr fontId="1"/>
  <dataValidations count="1">
    <dataValidation type="list" allowBlank="1" showInputMessage="1" showErrorMessage="1" sqref="H6:H1048576" xr:uid="{AC1FF4A5-9FC2-48F0-AE44-46ACE1ABA57D}">
      <formula1>Worker_type</formula1>
    </dataValidation>
  </dataValidations>
  <printOptions horizontalCentered="1"/>
  <pageMargins left="0.19685039370078741" right="0.19685039370078741" top="0.19685039370078741" bottom="0.19685039370078741" header="0.31496062992125984" footer="0.31496062992125984"/>
  <pageSetup paperSize="13" orientation="portrait" horizontalDpi="1200" verticalDpi="1200"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72039-1A27-485A-895D-4B3BD6ABC343}">
  <sheetPr codeName="Sheet8">
    <tabColor rgb="FF66CCFF"/>
  </sheetPr>
  <dimension ref="A1:N6"/>
  <sheetViews>
    <sheetView zoomScaleNormal="100" workbookViewId="0">
      <pane xSplit="1" ySplit="5" topLeftCell="F6" activePane="bottomRight" state="frozen"/>
      <selection pane="topRight" activeCell="B1" sqref="B1"/>
      <selection pane="bottomLeft" activeCell="A6" sqref="A6"/>
      <selection pane="bottomRight" activeCell="J27" sqref="J27"/>
    </sheetView>
  </sheetViews>
  <sheetFormatPr defaultColWidth="2.625" defaultRowHeight="15.95" customHeight="1" outlineLevelRow="1"/>
  <cols>
    <col min="1" max="1" width="23.5" style="1" customWidth="1"/>
    <col min="2" max="2" width="20.625" style="1" customWidth="1"/>
    <col min="3" max="5" width="22.25" style="2" customWidth="1"/>
    <col min="6" max="6" width="25.875" customWidth="1"/>
    <col min="7" max="7" width="29.875" style="1" customWidth="1"/>
    <col min="8" max="8" width="20.75" style="1" customWidth="1"/>
    <col min="9" max="9" width="21.375" customWidth="1"/>
    <col min="10" max="10" width="22.25" style="2" customWidth="1"/>
    <col min="11" max="11" width="14.25" customWidth="1"/>
    <col min="12" max="12" width="21.25" style="1" customWidth="1"/>
    <col min="13" max="13" width="13.375" style="1" bestFit="1" customWidth="1"/>
    <col min="14" max="14" width="13.75" style="1" bestFit="1" customWidth="1"/>
    <col min="15" max="15" width="15.875" style="1" customWidth="1"/>
    <col min="16" max="16" width="19" style="1" customWidth="1"/>
    <col min="17" max="17" width="19.125" style="1" customWidth="1"/>
    <col min="18" max="18" width="15.375" style="1" customWidth="1"/>
    <col min="19" max="16384" width="2.625" style="1"/>
  </cols>
  <sheetData>
    <row r="1" spans="1:14" ht="15.95" customHeight="1">
      <c r="A1" s="100" t="s">
        <v>1436</v>
      </c>
      <c r="F1" s="2"/>
      <c r="I1" s="1"/>
      <c r="J1" s="1"/>
      <c r="K1" s="1"/>
    </row>
    <row r="2" spans="1:14" ht="15.95" customHeight="1" outlineLevel="1">
      <c r="A2" s="3" t="s">
        <v>0</v>
      </c>
      <c r="B2" s="3" t="s">
        <v>1</v>
      </c>
      <c r="C2" s="3" t="s">
        <v>2</v>
      </c>
      <c r="D2" s="1"/>
      <c r="E2" s="2" t="s">
        <v>3</v>
      </c>
      <c r="F2" s="2" t="s">
        <v>795</v>
      </c>
      <c r="G2" s="2" t="s">
        <v>25</v>
      </c>
      <c r="H2" s="2" t="s">
        <v>796</v>
      </c>
      <c r="I2" s="2" t="s">
        <v>221</v>
      </c>
      <c r="J2" s="1"/>
      <c r="K2" s="1"/>
    </row>
    <row r="3" spans="1:14" ht="65.25" customHeight="1">
      <c r="A3" s="392"/>
      <c r="B3" s="392"/>
      <c r="C3" s="392"/>
      <c r="D3" s="372"/>
      <c r="E3" s="372"/>
      <c r="F3" s="372"/>
      <c r="I3" s="1"/>
      <c r="J3" s="1"/>
      <c r="K3" s="1"/>
    </row>
    <row r="4" spans="1:14" s="2" customFormat="1" ht="90" customHeight="1">
      <c r="A4" s="393" t="s">
        <v>1437</v>
      </c>
      <c r="B4" s="393" t="s">
        <v>1438</v>
      </c>
      <c r="C4" s="393" t="s">
        <v>1439</v>
      </c>
      <c r="D4" s="374" t="s">
        <v>1344</v>
      </c>
      <c r="E4" s="393" t="s">
        <v>1440</v>
      </c>
      <c r="F4" s="393" t="s">
        <v>1441</v>
      </c>
      <c r="G4" s="393" t="s">
        <v>1439</v>
      </c>
      <c r="H4" s="374" t="s">
        <v>1347</v>
      </c>
      <c r="I4" s="374" t="s">
        <v>1348</v>
      </c>
      <c r="J4" s="393" t="s">
        <v>1442</v>
      </c>
      <c r="K4" s="393" t="s">
        <v>1443</v>
      </c>
      <c r="L4" s="323" t="s">
        <v>1349</v>
      </c>
      <c r="M4" s="323" t="s">
        <v>1350</v>
      </c>
      <c r="N4" s="323" t="s">
        <v>1351</v>
      </c>
    </row>
    <row r="5" spans="1:14" s="2" customFormat="1" ht="28.5">
      <c r="A5" s="326" t="s">
        <v>33</v>
      </c>
      <c r="B5" s="51" t="s">
        <v>35</v>
      </c>
      <c r="C5" s="326" t="s">
        <v>34</v>
      </c>
      <c r="D5" s="51" t="s">
        <v>32</v>
      </c>
      <c r="E5" s="51" t="s">
        <v>36</v>
      </c>
      <c r="F5" s="51" t="s">
        <v>37</v>
      </c>
      <c r="G5" s="51" t="s">
        <v>191</v>
      </c>
      <c r="H5" s="54" t="s">
        <v>22</v>
      </c>
      <c r="I5" s="55" t="s">
        <v>793</v>
      </c>
      <c r="J5" s="51" t="s">
        <v>196</v>
      </c>
      <c r="K5" s="51" t="s">
        <v>197</v>
      </c>
      <c r="L5" s="327" t="s">
        <v>24</v>
      </c>
      <c r="M5" s="327" t="s">
        <v>3</v>
      </c>
      <c r="N5" s="327" t="s">
        <v>25</v>
      </c>
    </row>
    <row r="6" spans="1:14" ht="15.95" customHeight="1">
      <c r="C6" s="309" t="str">
        <f>IF(Asset_Area[[#This Row],[Info_Proto]]="Asset_Name_Info",_xlfn.XLOOKUP(Asset_Area[[#This Row],[Information Asset Name]],Info[Asset Name],Info[Auto_No],"Not Found",0),IF(Asset_Area[[#This Row],[Info_Proto]]="Asset_Name_Proto",_xlfn.XLOOKUP(Asset_Area[[#This Row],[Information Asset Name]],Prototype[Asset Name],Prototype[Auto_No],"Not Found",0),""))</f>
        <v/>
      </c>
      <c r="D6" s="309" t="str">
        <f>IF(Asset_Area[[#This Row],[Info_Proto]]="Asset_Name_Info",_xlfn.XLOOKUP(Asset_Area[[#This Row],[Information Asset Name]],Info[Asset Name],Info[Importance],"Not Found",0),IF(Asset_Area[[#This Row],[Info_Proto]]="Asset_Name_Proto",_xlfn.XLOOKUP(Asset_Area[[#This Row],[Information Asset Name]],Prototype[Asset Name],Prototype[Importance],"Not Found",0),""))</f>
        <v/>
      </c>
      <c r="E6" s="1"/>
      <c r="F6" s="1"/>
      <c r="G6" s="310" t="str">
        <f>IF(Asset_Area[[#This Row],[Area select]]="SupplimentName",_xlfn.XLOOKUP(Asset_Area[[#This Row],[Managed area where controll the asset]],Supplement[Asset Name],Supplement[Auto_No],"Not Found",0),IF(Asset_Area[[#This Row],[Area select]]="BP_Name",_xlfn.XLOOKUP(Asset_Area[[#This Row],[Managed area where controll the asset]],Business_Partner_List[Business Partner Name],Business_Partner_List[Auto_No],"Not Found",0),_xlfn.XLOOKUP(Asset_Area[[#This Row],[Managed area where controll the asset]],Project_List[Project Name],Project_List[Auto_No],"Not Found",0)))</f>
        <v>Not Found</v>
      </c>
      <c r="H6" s="309" t="str">
        <f>IF(Asset_Area[[#This Row],[Area select]]="SupplimentName",_xlfn.XLOOKUP(Asset_Area[[#This Row],[Managed area where controll the asset]],Supplement[Asset Name],Supplement[Damage occurance Probability],"Not Found",0),IF(Asset_Area[[#This Row],[Area select]]="BP_Name",_xlfn.XLOOKUP(Asset_Area[[#This Row],[Managed area where controll the asset]],Business_Partner_List[Business Partner Name],Business_Partner_List[Damage occurance Probability],"Not Found",0),IF(Asset_Area[[#This Row],[Area select]]="Project_Name",_xlfn.XLOOKUP(Asset_Area[[#This Row],[Managed area where controll the asset]],Project_List[Project Name],Project_List[Damage occurance Probability],"Not Found",0),"Please set colum of Area select")))</f>
        <v>Please set colum of Area select</v>
      </c>
      <c r="I6" s="11" t="e">
        <f>Asset_Area[[#This Row],[Importance]]*Asset_Area[[#This Row],[Damage occurance Probability]]</f>
        <v>#VALUE!</v>
      </c>
      <c r="J6" s="1"/>
      <c r="K6" s="1"/>
      <c r="M6" s="310" t="str">
        <f>$F$2</f>
        <v>CIRQUE</v>
      </c>
      <c r="N6" s="310" t="str">
        <f>$H$2</f>
        <v>All</v>
      </c>
    </row>
  </sheetData>
  <phoneticPr fontId="1"/>
  <conditionalFormatting sqref="I6">
    <cfRule type="cellIs" dxfId="2" priority="1" operator="greaterThan">
      <formula>6</formula>
    </cfRule>
    <cfRule type="cellIs" dxfId="1" priority="2" operator="between">
      <formula>4</formula>
      <formula>6</formula>
    </cfRule>
    <cfRule type="cellIs" dxfId="0" priority="3" operator="lessThan">
      <formula>4</formula>
    </cfRule>
  </conditionalFormatting>
  <dataValidations count="5">
    <dataValidation type="list" allowBlank="1" showInputMessage="1" showErrorMessage="1" sqref="A6:A1048576" xr:uid="{D8985614-DCF5-46A8-9072-C0BE96D2B15F}">
      <formula1>"Asset_Name_Info, Asset_Name_Proto"</formula1>
    </dataValidation>
    <dataValidation type="list" allowBlank="1" showInputMessage="1" showErrorMessage="1" sqref="F7:F1048576 E6" xr:uid="{0E21C78C-2CED-470C-8C23-0C98A2C82C35}">
      <formula1>Store_Area</formula1>
    </dataValidation>
    <dataValidation type="list" allowBlank="1" showInputMessage="1" showErrorMessage="1" sqref="F6" xr:uid="{865C88C8-CCF5-4E2A-931A-16536AB320F4}">
      <formula1>INDIRECT($E6)</formula1>
    </dataValidation>
    <dataValidation type="list" allowBlank="1" showInputMessage="1" showErrorMessage="1" sqref="B6:B1048576" xr:uid="{CA11DF0A-5517-4D49-9F7D-84AD67EC05C6}">
      <formula1>INDIRECT($A6)</formula1>
    </dataValidation>
    <dataValidation type="list" allowBlank="1" showInputMessage="1" showErrorMessage="1" sqref="G7:G1048576" xr:uid="{177CD39F-6ED9-4900-99B4-E3D4924E63BE}">
      <formula1>INDIRECT($F7)</formula1>
    </dataValidation>
  </dataValidations>
  <printOptions horizontalCentered="1"/>
  <pageMargins left="0.19685039370078741" right="0.19685039370078741" top="0.19685039370078741" bottom="0.19685039370078741" header="0.31496062992125984" footer="0.31496062992125984"/>
  <pageSetup paperSize="13" orientation="portrait" horizontalDpi="1200" verticalDpi="1200"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9191C-1261-4488-9A7C-737BA3072D10}">
  <sheetPr codeName="Sheet9">
    <tabColor rgb="FF66CCFF"/>
  </sheetPr>
  <dimension ref="A1:N6"/>
  <sheetViews>
    <sheetView zoomScale="80" zoomScaleNormal="80" workbookViewId="0">
      <pane xSplit="2" ySplit="5" topLeftCell="D6" activePane="bottomRight" state="frozen"/>
      <selection pane="topRight" activeCell="B1" sqref="B1"/>
      <selection pane="bottomLeft" activeCell="A6" sqref="A6"/>
      <selection pane="bottomRight" activeCell="I3" sqref="I3"/>
    </sheetView>
  </sheetViews>
  <sheetFormatPr defaultColWidth="2.625" defaultRowHeight="15.95" customHeight="1" outlineLevelRow="1"/>
  <cols>
    <col min="1" max="1" width="25.25" style="1" customWidth="1"/>
    <col min="2" max="2" width="34.375" style="2" customWidth="1"/>
    <col min="3" max="3" width="34.375" customWidth="1"/>
    <col min="4" max="4" width="25.125" style="1" customWidth="1"/>
    <col min="5" max="5" width="37.25" style="1" customWidth="1"/>
    <col min="6" max="6" width="22.625" customWidth="1"/>
    <col min="7" max="7" width="20.625" style="1" customWidth="1"/>
    <col min="8" max="10" width="25.625" style="1" customWidth="1"/>
    <col min="11" max="11" width="33.75" style="1" customWidth="1"/>
    <col min="12" max="12" width="27.25" style="1" customWidth="1"/>
    <col min="13" max="13" width="24.75" style="1" customWidth="1"/>
    <col min="14" max="14" width="15.25" style="1" bestFit="1" customWidth="1"/>
    <col min="15" max="15" width="18" style="1" bestFit="1" customWidth="1"/>
    <col min="16" max="16" width="18.625" style="1" customWidth="1"/>
    <col min="17" max="17" width="19" style="1" customWidth="1"/>
    <col min="18" max="18" width="19.25" style="1" customWidth="1"/>
    <col min="19" max="19" width="15.375" style="1" customWidth="1"/>
    <col min="20" max="16384" width="2.625" style="1"/>
  </cols>
  <sheetData>
    <row r="1" spans="1:14" ht="15.95" customHeight="1">
      <c r="A1" s="100" t="s">
        <v>1444</v>
      </c>
      <c r="B1" s="1"/>
      <c r="C1" s="1"/>
      <c r="F1" s="1"/>
    </row>
    <row r="2" spans="1:14" ht="15.95" customHeight="1" outlineLevel="1">
      <c r="A2" s="3" t="s">
        <v>0</v>
      </c>
      <c r="B2" s="3" t="s">
        <v>1</v>
      </c>
      <c r="C2" s="3" t="s">
        <v>2</v>
      </c>
      <c r="D2" s="45"/>
      <c r="E2" s="2" t="s">
        <v>3</v>
      </c>
      <c r="F2" s="2" t="s">
        <v>795</v>
      </c>
      <c r="G2" s="2" t="s">
        <v>25</v>
      </c>
      <c r="H2" s="2" t="s">
        <v>796</v>
      </c>
      <c r="I2" s="2" t="s">
        <v>220</v>
      </c>
    </row>
    <row r="3" spans="1:14" ht="65.25" customHeight="1">
      <c r="A3" s="392"/>
      <c r="B3" s="392"/>
      <c r="C3" s="392"/>
      <c r="D3" s="392"/>
      <c r="F3" s="372"/>
    </row>
    <row r="4" spans="1:14" s="2" customFormat="1" ht="59.25">
      <c r="A4" s="394" t="s">
        <v>1445</v>
      </c>
      <c r="B4" s="374" t="s">
        <v>1446</v>
      </c>
      <c r="C4" s="393" t="s">
        <v>1447</v>
      </c>
      <c r="D4" s="394" t="s">
        <v>1448</v>
      </c>
      <c r="E4" s="393" t="s">
        <v>1439</v>
      </c>
      <c r="F4" s="394" t="s">
        <v>1449</v>
      </c>
      <c r="G4" s="394" t="s">
        <v>1450</v>
      </c>
      <c r="H4" s="394" t="s">
        <v>1451</v>
      </c>
      <c r="I4" s="394" t="s">
        <v>1452</v>
      </c>
      <c r="J4" s="394" t="s">
        <v>189</v>
      </c>
      <c r="K4" s="394" t="s">
        <v>1453</v>
      </c>
      <c r="L4" s="395" t="s">
        <v>1349</v>
      </c>
      <c r="M4" s="395" t="s">
        <v>1350</v>
      </c>
      <c r="N4" s="395" t="s">
        <v>1351</v>
      </c>
    </row>
    <row r="5" spans="1:14" s="2" customFormat="1" ht="28.5">
      <c r="A5" s="51" t="s">
        <v>792</v>
      </c>
      <c r="B5" s="51" t="s">
        <v>790</v>
      </c>
      <c r="C5" s="51" t="s">
        <v>36</v>
      </c>
      <c r="D5" s="61" t="s">
        <v>37</v>
      </c>
      <c r="E5" s="51" t="s">
        <v>191</v>
      </c>
      <c r="F5" s="61" t="s">
        <v>195</v>
      </c>
      <c r="G5" s="61" t="s">
        <v>194</v>
      </c>
      <c r="H5" s="61" t="s">
        <v>188</v>
      </c>
      <c r="I5" s="61" t="s">
        <v>192</v>
      </c>
      <c r="J5" s="61" t="s">
        <v>189</v>
      </c>
      <c r="K5" s="51" t="s">
        <v>190</v>
      </c>
      <c r="L5" s="59" t="s">
        <v>24</v>
      </c>
      <c r="M5" s="59" t="s">
        <v>3</v>
      </c>
      <c r="N5" s="60" t="s">
        <v>25</v>
      </c>
    </row>
    <row r="6" spans="1:14" ht="15.95" customHeight="1">
      <c r="A6" s="13"/>
      <c r="B6" s="325" t="str">
        <f>_xlfn.XLOOKUP(Worker_access[[#This Row],[Name (Mail)]],Worker_List[Name (Mail)],Worker_List[Account ID],"Not Found",0)</f>
        <v>Not Found</v>
      </c>
      <c r="C6" s="1"/>
      <c r="E6" s="304" t="str">
        <f>IF(Worker_access[[#This Row],[Area select]]="SupplimentName",_xlfn.XLOOKUP(Worker_access[[#This Row],[Managed area where controll the asset]],Supplement[Asset Name],Supplement[Auto_No],"Not Found",0),IF(Worker_access[[#This Row],[Area select]]="BP_Name",_xlfn.XLOOKUP(Worker_access[[#This Row],[Managed area where controll the asset]],Business_Partner_List[Business Partner Name],Business_Partner_List[Auto_No],"Not Found",0),IF(Worker_access[[#This Row],[Area select]]="Project_Name",_xlfn.XLOOKUP(Worker_access[[#This Row],[Managed area where controll the asset]],Project_List[Project Name],Project_List[Auto_No],"Not Found",0),"")))</f>
        <v/>
      </c>
      <c r="F6" s="1"/>
      <c r="H6" s="16"/>
      <c r="I6" s="314" t="str">
        <f>IF(Worker_access[[#This Row],[Area select]]="SupplimentName",_xlfn.XLOOKUP(Worker_access[[#This Row],[Managed area where controll the asset]],Supplement[Asset Name],Supplement[Training Requirement],"Not Found",0),IF(Worker_access[[#This Row],[Area select]]="BP_Name",_xlfn.XLOOKUP(Worker_access[[#This Row],[Managed area where controll the asset]],Business_Partner_List[Business Partner Name],Business_Partner_List[Training Requirement],"Not Found",0),IF(Worker_access[[#This Row],[Area select]]="Project_Name",_xlfn.XLOOKUP(Worker_access[[#This Row],[Managed area where controll the asset]],Project_List[Project Name],Project_List[Training Requirement],"Not Found",0),"")))</f>
        <v/>
      </c>
      <c r="J6" s="16"/>
      <c r="K6" s="16"/>
      <c r="L6" s="13"/>
      <c r="M6" s="304" t="str">
        <f>$F$2</f>
        <v>CIRQUE</v>
      </c>
      <c r="N6" s="305" t="str">
        <f>$H$2</f>
        <v>All</v>
      </c>
    </row>
  </sheetData>
  <phoneticPr fontId="1"/>
  <dataValidations count="5">
    <dataValidation type="list" allowBlank="1" showInputMessage="1" showErrorMessage="1" sqref="A7:A1048576" xr:uid="{67D68B02-9D88-4590-8AC3-F8EA648CB602}">
      <formula1>Worker_Name</formula1>
    </dataValidation>
    <dataValidation type="list" allowBlank="1" showInputMessage="1" showErrorMessage="1" sqref="A6" xr:uid="{0E29FF07-05D1-4451-A93A-265DFF44B33A}">
      <formula1>Name_Mail</formula1>
    </dataValidation>
    <dataValidation type="list" allowBlank="1" showInputMessage="1" showErrorMessage="1" sqref="C6:C1048576" xr:uid="{872F5AE1-5363-4F52-932F-2157EE22EC14}">
      <formula1>Store_Area</formula1>
    </dataValidation>
    <dataValidation type="list" allowBlank="1" showInputMessage="1" showErrorMessage="1" sqref="H6:H1048576" xr:uid="{C597E78A-A378-4BE2-916A-9E5C0FF04E8E}">
      <formula1>"Adminstrator,User"</formula1>
    </dataValidation>
    <dataValidation type="list" allowBlank="1" showInputMessage="1" showErrorMessage="1" sqref="D6:D1048576" xr:uid="{5520169E-ECEE-4909-A4E4-51A774FC4D2A}">
      <formula1>INDIRECT($C6)</formula1>
    </dataValidation>
  </dataValidations>
  <printOptions horizontalCentered="1"/>
  <pageMargins left="0.19685039370078741" right="0.19685039370078741" top="0.19685039370078741" bottom="0.19685039370078741" header="0.31496062992125984" footer="0.31496062992125984"/>
  <pageSetup paperSize="13" orientation="portrait" horizontalDpi="1200" verticalDpi="1200"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3330F-EFB8-43BA-99D3-BE2DD2D6369F}">
  <sheetPr codeName="Sheet10">
    <tabColor rgb="FF66CCFF"/>
  </sheetPr>
  <dimension ref="A1:N6"/>
  <sheetViews>
    <sheetView zoomScale="80" zoomScaleNormal="80" workbookViewId="0">
      <pane xSplit="2" ySplit="5" topLeftCell="C6" activePane="bottomRight" state="frozen"/>
      <selection pane="topRight" activeCell="B1" sqref="B1"/>
      <selection pane="bottomLeft" activeCell="A6" sqref="A6"/>
      <selection pane="bottomRight" activeCell="A3" sqref="A3"/>
    </sheetView>
  </sheetViews>
  <sheetFormatPr defaultColWidth="2.625" defaultRowHeight="15.95" customHeight="1" outlineLevelRow="1"/>
  <cols>
    <col min="1" max="1" width="25.25" style="1" customWidth="1"/>
    <col min="2" max="2" width="34.375" style="2" customWidth="1"/>
    <col min="3" max="3" width="34.375" customWidth="1"/>
    <col min="4" max="4" width="25.125" style="1" customWidth="1"/>
    <col min="5" max="5" width="37.25" style="1" customWidth="1"/>
    <col min="6" max="6" width="22.625" customWidth="1"/>
    <col min="7" max="7" width="20.625" style="1" customWidth="1"/>
    <col min="8" max="10" width="25.625" style="1" customWidth="1"/>
    <col min="11" max="11" width="33.75" style="1" customWidth="1"/>
    <col min="12" max="12" width="27.25" style="1" customWidth="1"/>
    <col min="13" max="13" width="14.875" style="1" bestFit="1" customWidth="1"/>
    <col min="14" max="14" width="15.25" style="1" bestFit="1" customWidth="1"/>
    <col min="15" max="15" width="18" style="1" bestFit="1" customWidth="1"/>
    <col min="16" max="16" width="18.625" style="1" customWidth="1"/>
    <col min="17" max="17" width="19" style="1" customWidth="1"/>
    <col min="18" max="18" width="19.25" style="1" customWidth="1"/>
    <col min="19" max="19" width="15.375" style="1" customWidth="1"/>
    <col min="20" max="16384" width="2.625" style="1"/>
  </cols>
  <sheetData>
    <row r="1" spans="1:14" ht="15.95" customHeight="1">
      <c r="A1" s="100" t="s">
        <v>1454</v>
      </c>
      <c r="B1" s="1"/>
      <c r="C1" s="1"/>
      <c r="F1" s="1"/>
    </row>
    <row r="2" spans="1:14" ht="15.95" customHeight="1" outlineLevel="1">
      <c r="A2" s="3" t="s">
        <v>0</v>
      </c>
      <c r="B2" s="3" t="s">
        <v>1</v>
      </c>
      <c r="C2" s="3" t="s">
        <v>2</v>
      </c>
      <c r="D2" s="45"/>
      <c r="E2" s="2" t="s">
        <v>3</v>
      </c>
      <c r="F2" s="2" t="s">
        <v>795</v>
      </c>
      <c r="G2" s="2" t="s">
        <v>25</v>
      </c>
      <c r="H2" s="2" t="s">
        <v>796</v>
      </c>
      <c r="I2" s="2" t="s">
        <v>224</v>
      </c>
    </row>
    <row r="3" spans="1:14" ht="65.25" customHeight="1">
      <c r="A3" s="392"/>
      <c r="B3" s="392"/>
      <c r="C3" s="392"/>
      <c r="D3" s="392"/>
      <c r="F3" s="372"/>
    </row>
    <row r="4" spans="1:14" s="2" customFormat="1" ht="59.25">
      <c r="A4" s="394" t="s">
        <v>1445</v>
      </c>
      <c r="B4" s="374" t="s">
        <v>1455</v>
      </c>
      <c r="C4" s="396" t="s">
        <v>1456</v>
      </c>
      <c r="D4" s="394" t="s">
        <v>1457</v>
      </c>
      <c r="E4" s="393" t="s">
        <v>1439</v>
      </c>
      <c r="F4" s="394" t="s">
        <v>1449</v>
      </c>
      <c r="G4" s="394" t="s">
        <v>1450</v>
      </c>
      <c r="H4" s="394" t="s">
        <v>1451</v>
      </c>
      <c r="I4" s="394" t="s">
        <v>1452</v>
      </c>
      <c r="J4" s="394" t="s">
        <v>189</v>
      </c>
      <c r="K4" s="394" t="s">
        <v>1453</v>
      </c>
      <c r="L4" s="395" t="s">
        <v>1349</v>
      </c>
      <c r="M4" s="395" t="s">
        <v>1350</v>
      </c>
      <c r="N4" s="395" t="s">
        <v>1351</v>
      </c>
    </row>
    <row r="5" spans="1:14" s="2" customFormat="1" ht="28.5">
      <c r="A5" s="51" t="s">
        <v>792</v>
      </c>
      <c r="B5" s="51" t="s">
        <v>790</v>
      </c>
      <c r="C5" s="51" t="s">
        <v>36</v>
      </c>
      <c r="D5" s="61" t="s">
        <v>37</v>
      </c>
      <c r="E5" s="51" t="s">
        <v>191</v>
      </c>
      <c r="F5" s="61" t="s">
        <v>187</v>
      </c>
      <c r="G5" s="61" t="s">
        <v>194</v>
      </c>
      <c r="H5" s="61" t="s">
        <v>188</v>
      </c>
      <c r="I5" s="61" t="s">
        <v>192</v>
      </c>
      <c r="J5" s="61" t="s">
        <v>189</v>
      </c>
      <c r="K5" s="51" t="s">
        <v>190</v>
      </c>
      <c r="L5" s="59" t="s">
        <v>24</v>
      </c>
      <c r="M5" s="59" t="s">
        <v>3</v>
      </c>
      <c r="N5" s="60" t="s">
        <v>25</v>
      </c>
    </row>
    <row r="6" spans="1:14" ht="15.95" customHeight="1">
      <c r="A6" s="13"/>
      <c r="B6" s="325" t="str">
        <f>_xlfn.XLOOKUP(Software_User[[#This Row],[Name (Mail)]],Worker_List[Name (Mail)],Worker_List[Account ID],"Not Found",0)</f>
        <v>Not Found</v>
      </c>
      <c r="C6" s="310"/>
      <c r="E6" s="304" t="str">
        <f>_xlfn.XLOOKUP(Software_User[[#This Row],[Managed area where controll the asset]],SoftWare[Asset Name],SoftWare[Auto_No],"Not Found",0)</f>
        <v>CIRQUE-All-Software-0001</v>
      </c>
      <c r="F6" s="1"/>
      <c r="H6" s="16"/>
      <c r="I6" s="314">
        <f>_xlfn.XLOOKUP(Software_User[[#This Row],[Managed area where controll the asset]],SoftWare[Asset Name],SoftWare[Training Requirement],"Not Found",0)</f>
        <v>0</v>
      </c>
      <c r="J6" s="16"/>
      <c r="K6" s="16"/>
      <c r="L6" s="13"/>
      <c r="M6" s="304" t="str">
        <f>$F$2</f>
        <v>CIRQUE</v>
      </c>
      <c r="N6" s="305" t="str">
        <f>$H$2</f>
        <v>All</v>
      </c>
    </row>
  </sheetData>
  <phoneticPr fontId="1"/>
  <dataValidations count="5">
    <dataValidation type="list" allowBlank="1" showInputMessage="1" showErrorMessage="1" sqref="A7:A1048576" xr:uid="{C58C90A4-72E0-4A0B-9CCB-C539DC52B09B}">
      <formula1>Worker_Name</formula1>
    </dataValidation>
    <dataValidation type="list" allowBlank="1" showInputMessage="1" showErrorMessage="1" sqref="A6" xr:uid="{E67E8A4B-2793-4B86-873F-EFB93B1EE716}">
      <formula1>Name_Mail</formula1>
    </dataValidation>
    <dataValidation type="list" allowBlank="1" showInputMessage="1" showErrorMessage="1" sqref="H6:H1048576" xr:uid="{77BCAE24-3B6A-4D7D-9E35-8F95EC7249D6}">
      <formula1>"Adminstrator,User"</formula1>
    </dataValidation>
    <dataValidation type="list" allowBlank="1" showInputMessage="1" showErrorMessage="1" sqref="C6:C1048576" xr:uid="{54DE5B07-B29E-49D0-AAC4-01C0AB9AF9C2}">
      <formula1>"Software_Name"</formula1>
    </dataValidation>
    <dataValidation type="list" allowBlank="1" showInputMessage="1" showErrorMessage="1" sqref="D6:D1048576" xr:uid="{34690FED-1634-4AA3-B45E-F9E2D0750CD3}">
      <formula1>INDIRECT($C6)</formula1>
    </dataValidation>
  </dataValidations>
  <printOptions horizontalCentered="1"/>
  <pageMargins left="0.19685039370078741" right="0.19685039370078741" top="0.19685039370078741" bottom="0.19685039370078741" header="0.31496062992125984" footer="0.31496062992125984"/>
  <pageSetup paperSize="13" orientation="portrait" horizontalDpi="1200" verticalDpi="1200"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1A6BC-B401-49FB-A895-CB23A1EA48C2}">
  <sheetPr codeName="Sheet11"/>
  <dimension ref="A1:S33"/>
  <sheetViews>
    <sheetView topLeftCell="E1" workbookViewId="0">
      <selection activeCell="L2" sqref="L2"/>
    </sheetView>
  </sheetViews>
  <sheetFormatPr defaultRowHeight="13.5"/>
  <cols>
    <col min="1" max="1" width="28" bestFit="1" customWidth="1"/>
    <col min="2" max="2" width="36.75" customWidth="1"/>
    <col min="3" max="3" width="19.5" bestFit="1" customWidth="1"/>
    <col min="4" max="4" width="24.625" bestFit="1" customWidth="1"/>
    <col min="5" max="5" width="43.75" customWidth="1"/>
    <col min="6" max="6" width="18.75" bestFit="1" customWidth="1"/>
    <col min="7" max="7" width="18.875" bestFit="1" customWidth="1"/>
    <col min="8" max="8" width="13.625" bestFit="1" customWidth="1"/>
    <col min="9" max="9" width="15.5" bestFit="1" customWidth="1"/>
    <col min="10" max="10" width="26.125" bestFit="1" customWidth="1"/>
    <col min="11" max="11" width="22.75" bestFit="1" customWidth="1"/>
    <col min="12" max="12" width="15.375" bestFit="1" customWidth="1"/>
    <col min="13" max="13" width="23.875" customWidth="1"/>
    <col min="14" max="14" width="17.125" customWidth="1"/>
    <col min="15" max="15" width="17.125" bestFit="1" customWidth="1"/>
    <col min="16" max="16" width="33.875" bestFit="1" customWidth="1"/>
    <col min="17" max="17" width="16.125" customWidth="1"/>
    <col min="19" max="19" width="43.75" bestFit="1" customWidth="1"/>
  </cols>
  <sheetData>
    <row r="1" spans="1:19" ht="14.25">
      <c r="A1" t="s">
        <v>6</v>
      </c>
      <c r="B1" t="s">
        <v>7</v>
      </c>
      <c r="C1" t="s">
        <v>8</v>
      </c>
      <c r="D1" t="s">
        <v>9</v>
      </c>
      <c r="E1" t="s">
        <v>201</v>
      </c>
      <c r="F1" t="s">
        <v>54</v>
      </c>
      <c r="G1" s="18" t="s">
        <v>17</v>
      </c>
      <c r="H1" s="19" t="s">
        <v>18</v>
      </c>
      <c r="I1" s="19" t="s">
        <v>19</v>
      </c>
      <c r="J1" s="20" t="s">
        <v>20</v>
      </c>
      <c r="K1" s="20" t="s">
        <v>21</v>
      </c>
      <c r="L1" s="21" t="s">
        <v>55</v>
      </c>
      <c r="M1" t="s">
        <v>118</v>
      </c>
      <c r="N1" t="s">
        <v>121</v>
      </c>
      <c r="O1" t="s">
        <v>146</v>
      </c>
      <c r="P1" t="s">
        <v>182</v>
      </c>
      <c r="Q1" t="s">
        <v>215</v>
      </c>
      <c r="S1" s="65" t="s">
        <v>219</v>
      </c>
    </row>
    <row r="2" spans="1:19">
      <c r="A2" t="s">
        <v>56</v>
      </c>
      <c r="B2" t="s">
        <v>57</v>
      </c>
      <c r="C2" t="s">
        <v>58</v>
      </c>
      <c r="D2" s="45" t="s">
        <v>202</v>
      </c>
      <c r="E2" t="s">
        <v>59</v>
      </c>
      <c r="F2" t="s">
        <v>60</v>
      </c>
      <c r="G2">
        <v>4</v>
      </c>
      <c r="H2">
        <v>3</v>
      </c>
      <c r="I2">
        <v>3</v>
      </c>
      <c r="J2">
        <v>4</v>
      </c>
      <c r="K2">
        <v>3</v>
      </c>
      <c r="L2" s="22" t="s">
        <v>61</v>
      </c>
      <c r="M2" t="s">
        <v>119</v>
      </c>
      <c r="N2" t="s">
        <v>124</v>
      </c>
      <c r="O2" t="s">
        <v>147</v>
      </c>
      <c r="P2" t="s">
        <v>183</v>
      </c>
      <c r="Q2" t="s">
        <v>211</v>
      </c>
      <c r="S2" s="22" t="s">
        <v>59</v>
      </c>
    </row>
    <row r="3" spans="1:19">
      <c r="A3" t="s">
        <v>62</v>
      </c>
      <c r="B3" t="s">
        <v>63</v>
      </c>
      <c r="C3" t="s">
        <v>64</v>
      </c>
      <c r="D3" s="45" t="s">
        <v>203</v>
      </c>
      <c r="E3" t="s">
        <v>65</v>
      </c>
      <c r="F3" t="s">
        <v>66</v>
      </c>
      <c r="G3">
        <v>3</v>
      </c>
      <c r="H3">
        <v>2</v>
      </c>
      <c r="I3">
        <v>2</v>
      </c>
      <c r="J3">
        <v>3</v>
      </c>
      <c r="K3">
        <v>2</v>
      </c>
      <c r="L3" s="23" t="s">
        <v>67</v>
      </c>
      <c r="M3" t="s">
        <v>120</v>
      </c>
      <c r="N3" t="s">
        <v>125</v>
      </c>
      <c r="O3" t="s">
        <v>148</v>
      </c>
      <c r="P3" t="s">
        <v>184</v>
      </c>
      <c r="Q3" t="s">
        <v>212</v>
      </c>
      <c r="S3" s="23" t="s">
        <v>65</v>
      </c>
    </row>
    <row r="4" spans="1:19">
      <c r="A4" t="s">
        <v>68</v>
      </c>
      <c r="B4" t="s">
        <v>69</v>
      </c>
      <c r="C4" t="s">
        <v>70</v>
      </c>
      <c r="D4" s="45" t="s">
        <v>204</v>
      </c>
      <c r="E4" t="s">
        <v>71</v>
      </c>
      <c r="F4" t="s">
        <v>72</v>
      </c>
      <c r="G4">
        <v>2</v>
      </c>
      <c r="H4">
        <v>1</v>
      </c>
      <c r="I4">
        <v>1</v>
      </c>
      <c r="J4">
        <v>2</v>
      </c>
      <c r="K4">
        <v>1</v>
      </c>
      <c r="L4" s="22" t="s">
        <v>73</v>
      </c>
      <c r="N4" t="s">
        <v>126</v>
      </c>
      <c r="O4" t="s">
        <v>160</v>
      </c>
      <c r="P4" t="s">
        <v>185</v>
      </c>
      <c r="Q4" t="s">
        <v>213</v>
      </c>
      <c r="S4" s="22" t="s">
        <v>71</v>
      </c>
    </row>
    <row r="5" spans="1:19">
      <c r="A5" t="s">
        <v>198</v>
      </c>
      <c r="B5" t="s">
        <v>75</v>
      </c>
      <c r="C5" t="s">
        <v>76</v>
      </c>
      <c r="D5" s="45" t="s">
        <v>205</v>
      </c>
      <c r="E5" t="s">
        <v>206</v>
      </c>
      <c r="F5" t="s">
        <v>77</v>
      </c>
      <c r="G5">
        <v>1</v>
      </c>
      <c r="L5" s="24" t="s">
        <v>78</v>
      </c>
      <c r="N5" t="s">
        <v>229</v>
      </c>
      <c r="P5" t="s">
        <v>186</v>
      </c>
      <c r="Q5" t="s">
        <v>214</v>
      </c>
      <c r="S5" s="24" t="s">
        <v>206</v>
      </c>
    </row>
    <row r="6" spans="1:19">
      <c r="A6" t="s">
        <v>199</v>
      </c>
      <c r="B6" t="s">
        <v>78</v>
      </c>
      <c r="C6" t="s">
        <v>79</v>
      </c>
      <c r="F6" t="s">
        <v>80</v>
      </c>
      <c r="N6" t="s">
        <v>122</v>
      </c>
      <c r="P6" t="s">
        <v>78</v>
      </c>
    </row>
    <row r="7" spans="1:19">
      <c r="A7" t="s">
        <v>200</v>
      </c>
      <c r="C7" t="s">
        <v>81</v>
      </c>
      <c r="F7" t="s">
        <v>82</v>
      </c>
      <c r="N7" t="s">
        <v>123</v>
      </c>
    </row>
    <row r="8" spans="1:19">
      <c r="A8" t="s">
        <v>74</v>
      </c>
      <c r="C8" t="s">
        <v>83</v>
      </c>
      <c r="F8" t="s">
        <v>84</v>
      </c>
      <c r="N8" t="s">
        <v>127</v>
      </c>
    </row>
    <row r="9" spans="1:19">
      <c r="A9" t="s">
        <v>78</v>
      </c>
      <c r="C9" t="s">
        <v>85</v>
      </c>
      <c r="F9" t="s">
        <v>86</v>
      </c>
      <c r="N9" t="s">
        <v>78</v>
      </c>
    </row>
    <row r="10" spans="1:19">
      <c r="C10" t="s">
        <v>87</v>
      </c>
      <c r="F10" t="s">
        <v>88</v>
      </c>
    </row>
    <row r="11" spans="1:19">
      <c r="C11" t="s">
        <v>89</v>
      </c>
      <c r="F11" t="s">
        <v>90</v>
      </c>
    </row>
    <row r="12" spans="1:19">
      <c r="C12" t="s">
        <v>91</v>
      </c>
      <c r="F12" t="s">
        <v>78</v>
      </c>
    </row>
    <row r="13" spans="1:19">
      <c r="C13" t="s">
        <v>92</v>
      </c>
    </row>
    <row r="14" spans="1:19">
      <c r="C14" t="s">
        <v>93</v>
      </c>
    </row>
    <row r="15" spans="1:19">
      <c r="C15" t="s">
        <v>94</v>
      </c>
    </row>
    <row r="16" spans="1:19">
      <c r="C16" t="s">
        <v>95</v>
      </c>
    </row>
    <row r="17" spans="3:3">
      <c r="C17" t="s">
        <v>96</v>
      </c>
    </row>
    <row r="18" spans="3:3">
      <c r="C18" t="s">
        <v>97</v>
      </c>
    </row>
    <row r="19" spans="3:3">
      <c r="C19" t="s">
        <v>98</v>
      </c>
    </row>
    <row r="20" spans="3:3">
      <c r="C20" t="s">
        <v>99</v>
      </c>
    </row>
    <row r="21" spans="3:3">
      <c r="C21" t="s">
        <v>100</v>
      </c>
    </row>
    <row r="22" spans="3:3">
      <c r="C22" t="s">
        <v>101</v>
      </c>
    </row>
    <row r="23" spans="3:3">
      <c r="C23" t="s">
        <v>102</v>
      </c>
    </row>
    <row r="24" spans="3:3">
      <c r="C24" t="s">
        <v>103</v>
      </c>
    </row>
    <row r="25" spans="3:3">
      <c r="C25" t="s">
        <v>104</v>
      </c>
    </row>
    <row r="26" spans="3:3">
      <c r="C26" t="s">
        <v>105</v>
      </c>
    </row>
    <row r="27" spans="3:3">
      <c r="C27" t="s">
        <v>106</v>
      </c>
    </row>
    <row r="28" spans="3:3">
      <c r="C28" t="s">
        <v>107</v>
      </c>
    </row>
    <row r="29" spans="3:3">
      <c r="C29" t="s">
        <v>108</v>
      </c>
    </row>
    <row r="30" spans="3:3">
      <c r="C30" t="s">
        <v>109</v>
      </c>
    </row>
    <row r="31" spans="3:3">
      <c r="C31" t="s">
        <v>110</v>
      </c>
    </row>
    <row r="32" spans="3:3">
      <c r="C32" t="s">
        <v>111</v>
      </c>
    </row>
    <row r="33" spans="3:3">
      <c r="C33" t="s">
        <v>112</v>
      </c>
    </row>
  </sheetData>
  <phoneticPr fontId="1"/>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9B491-D71A-4D6F-B950-BB73EB71F7CD}">
  <sheetPr codeName="Sheet12"/>
  <dimension ref="A1:BL178"/>
  <sheetViews>
    <sheetView zoomScale="90" zoomScaleNormal="90" workbookViewId="0">
      <pane xSplit="2" ySplit="3" topLeftCell="C28" activePane="bottomRight" state="frozen"/>
      <selection pane="topRight" activeCell="C1" sqref="C1"/>
      <selection pane="bottomLeft" activeCell="A3" sqref="A3"/>
      <selection pane="bottomRight" activeCell="F11" sqref="F11"/>
    </sheetView>
  </sheetViews>
  <sheetFormatPr defaultRowHeight="15.75"/>
  <cols>
    <col min="1" max="1" width="67.625" style="74" customWidth="1"/>
    <col min="2" max="2" width="19" style="70" customWidth="1"/>
    <col min="3" max="3" width="36.25" customWidth="1"/>
    <col min="4" max="4" width="27.25" style="71" customWidth="1"/>
    <col min="5" max="5" width="36.625" style="72" customWidth="1"/>
    <col min="6" max="6" width="27.25" style="73" customWidth="1"/>
    <col min="7" max="7" width="36.625" style="72" customWidth="1"/>
    <col min="8" max="8" width="27.25" style="73" customWidth="1"/>
    <col min="9" max="9" width="27.75" customWidth="1"/>
  </cols>
  <sheetData>
    <row r="1" spans="1:64" ht="24" customHeight="1">
      <c r="A1" s="370" t="s">
        <v>1325</v>
      </c>
      <c r="G1" s="74" t="s">
        <v>1326</v>
      </c>
    </row>
    <row r="2" spans="1:64" ht="24" customHeight="1">
      <c r="A2" s="69"/>
    </row>
    <row r="3" spans="1:64">
      <c r="A3" s="75"/>
      <c r="B3" s="76"/>
      <c r="C3" s="405" t="s">
        <v>230</v>
      </c>
      <c r="D3" s="406"/>
      <c r="E3" s="407" t="s">
        <v>231</v>
      </c>
      <c r="F3" s="407"/>
      <c r="G3" s="408" t="s">
        <v>232</v>
      </c>
      <c r="H3" s="408"/>
    </row>
    <row r="4" spans="1:64" ht="45" customHeight="1">
      <c r="A4" s="77" t="s">
        <v>233</v>
      </c>
      <c r="B4" s="78" t="s">
        <v>234</v>
      </c>
      <c r="C4" s="409" t="s">
        <v>235</v>
      </c>
      <c r="D4" s="410"/>
      <c r="E4" s="411" t="s">
        <v>236</v>
      </c>
      <c r="F4" s="412"/>
      <c r="G4" s="413" t="s">
        <v>237</v>
      </c>
      <c r="H4" s="412"/>
      <c r="K4" s="79"/>
      <c r="L4" s="79"/>
      <c r="M4" s="79"/>
      <c r="N4" s="79"/>
      <c r="O4" s="79"/>
      <c r="P4" s="79"/>
      <c r="Q4" s="79"/>
      <c r="R4" s="79"/>
      <c r="S4" s="79"/>
      <c r="T4" s="79"/>
      <c r="U4" s="79"/>
      <c r="V4" s="79"/>
      <c r="W4" s="79"/>
      <c r="X4" s="79"/>
      <c r="AQ4" s="1"/>
      <c r="AR4" s="1"/>
      <c r="AS4" s="1"/>
      <c r="AT4" s="1"/>
      <c r="AU4" s="1"/>
      <c r="AV4" s="1"/>
      <c r="AW4" s="1"/>
      <c r="AX4" s="1"/>
    </row>
    <row r="5" spans="1:64" ht="35.450000000000003" customHeight="1">
      <c r="A5" s="397" t="s">
        <v>238</v>
      </c>
      <c r="B5" s="80" t="s">
        <v>239</v>
      </c>
      <c r="C5" s="400" t="s">
        <v>240</v>
      </c>
      <c r="D5" s="401"/>
      <c r="E5" s="402" t="s">
        <v>241</v>
      </c>
      <c r="F5" s="403"/>
      <c r="G5" s="404" t="s">
        <v>242</v>
      </c>
      <c r="H5" s="403"/>
      <c r="I5" s="79"/>
      <c r="J5" s="79"/>
      <c r="K5" s="79"/>
      <c r="L5" s="79"/>
      <c r="M5" s="79"/>
      <c r="N5" s="79"/>
      <c r="O5" s="79"/>
      <c r="P5" s="79"/>
      <c r="Q5" s="79"/>
      <c r="R5" s="79"/>
      <c r="S5" s="79"/>
      <c r="T5" s="79"/>
      <c r="U5" s="79"/>
      <c r="V5" s="79"/>
      <c r="W5" s="79"/>
      <c r="X5" s="79"/>
      <c r="AQ5" s="1"/>
      <c r="AR5" s="1"/>
      <c r="AS5" s="1"/>
      <c r="AT5" s="1"/>
      <c r="AU5" s="1"/>
      <c r="AV5" s="1"/>
      <c r="AW5" s="1"/>
      <c r="AX5" s="1"/>
    </row>
    <row r="6" spans="1:64" ht="31.5">
      <c r="A6" s="398"/>
      <c r="B6" s="81" t="s">
        <v>243</v>
      </c>
      <c r="C6" s="82" t="s">
        <v>244</v>
      </c>
      <c r="D6" s="83"/>
      <c r="E6" s="84" t="s">
        <v>245</v>
      </c>
      <c r="F6" s="85"/>
      <c r="G6" s="86" t="s">
        <v>246</v>
      </c>
      <c r="H6" s="87"/>
      <c r="I6" s="4"/>
      <c r="J6" s="4"/>
      <c r="K6" s="4"/>
      <c r="L6" s="4"/>
      <c r="M6" s="4"/>
      <c r="N6" s="4"/>
      <c r="O6" s="4"/>
      <c r="P6" s="4"/>
      <c r="Q6" s="4"/>
      <c r="R6" s="4"/>
      <c r="S6" s="4"/>
      <c r="T6" s="4"/>
      <c r="U6" s="4"/>
      <c r="V6" s="4"/>
      <c r="W6" s="4"/>
      <c r="AP6" s="1"/>
      <c r="AQ6" s="1"/>
      <c r="AR6" s="1"/>
      <c r="AS6" s="1"/>
      <c r="AT6" s="1"/>
      <c r="AU6" s="1"/>
      <c r="AV6" s="1"/>
      <c r="AW6" s="1"/>
    </row>
    <row r="7" spans="1:64" ht="31.5">
      <c r="A7" s="398"/>
      <c r="B7" s="81" t="s">
        <v>247</v>
      </c>
      <c r="C7" s="82" t="s">
        <v>248</v>
      </c>
      <c r="D7" s="88"/>
      <c r="E7" s="84" t="s">
        <v>249</v>
      </c>
      <c r="F7" s="89"/>
      <c r="G7" s="86" t="s">
        <v>250</v>
      </c>
      <c r="H7" s="90"/>
      <c r="I7" s="4"/>
      <c r="J7" s="4"/>
      <c r="K7" s="4"/>
      <c r="L7" s="4"/>
      <c r="M7" s="4"/>
      <c r="N7" s="4"/>
      <c r="O7" s="4"/>
      <c r="P7" s="4"/>
      <c r="Q7" s="4"/>
      <c r="R7" s="4"/>
      <c r="S7" s="4"/>
      <c r="T7" s="4"/>
      <c r="U7" s="4"/>
      <c r="V7" s="4"/>
      <c r="W7" s="4"/>
      <c r="AP7" s="1"/>
      <c r="AQ7" s="1"/>
      <c r="AR7" s="1"/>
      <c r="AS7" s="1"/>
      <c r="AT7" s="1"/>
      <c r="AU7" s="1"/>
      <c r="AV7" s="1"/>
      <c r="AW7" s="1"/>
    </row>
    <row r="8" spans="1:64" ht="47.25">
      <c r="A8" s="399"/>
      <c r="B8" s="91" t="s">
        <v>251</v>
      </c>
      <c r="C8" s="92" t="s">
        <v>252</v>
      </c>
      <c r="D8" s="93"/>
      <c r="E8" s="94" t="s">
        <v>253</v>
      </c>
      <c r="F8" s="95"/>
      <c r="G8" s="96" t="s">
        <v>254</v>
      </c>
      <c r="H8" s="97"/>
      <c r="I8" s="4"/>
      <c r="J8" s="4"/>
      <c r="K8" s="4"/>
      <c r="L8" s="4"/>
      <c r="M8" s="4"/>
      <c r="N8" s="4"/>
      <c r="O8" s="4"/>
      <c r="P8" s="98"/>
      <c r="Q8" s="1"/>
      <c r="R8" s="1"/>
      <c r="S8" s="1"/>
      <c r="U8" s="1"/>
      <c r="V8" s="1"/>
      <c r="W8" s="1"/>
      <c r="AP8" s="1"/>
      <c r="AQ8" s="1"/>
      <c r="AR8" s="1"/>
      <c r="AS8" s="1"/>
      <c r="AT8" s="1"/>
      <c r="AU8" s="1"/>
      <c r="AV8" s="1"/>
      <c r="AW8" s="1"/>
    </row>
    <row r="9" spans="1:64" s="103" customFormat="1" ht="37.5" customHeight="1">
      <c r="A9" s="397" t="s">
        <v>255</v>
      </c>
      <c r="B9" s="99" t="s">
        <v>239</v>
      </c>
      <c r="C9" s="400" t="s">
        <v>256</v>
      </c>
      <c r="D9" s="401"/>
      <c r="E9" s="402"/>
      <c r="F9" s="403"/>
      <c r="G9" s="404"/>
      <c r="H9" s="403"/>
      <c r="I9" s="100"/>
      <c r="J9" s="100"/>
      <c r="K9" s="100"/>
      <c r="L9" s="100"/>
      <c r="M9" s="100"/>
      <c r="N9" s="100"/>
      <c r="O9" s="100"/>
      <c r="P9" s="100"/>
      <c r="Q9" s="101"/>
      <c r="R9" s="102"/>
      <c r="S9" s="102"/>
      <c r="T9" s="102"/>
      <c r="AQ9" s="102"/>
      <c r="AR9" s="102"/>
      <c r="AS9" s="102"/>
      <c r="AT9" s="102"/>
      <c r="AU9" s="102"/>
      <c r="AV9" s="102"/>
      <c r="AW9" s="102"/>
      <c r="AX9" s="102"/>
      <c r="AY9" s="102"/>
      <c r="AZ9" s="102"/>
      <c r="BA9" s="102"/>
      <c r="BB9" s="102"/>
      <c r="BC9" s="102"/>
      <c r="BD9" s="102"/>
      <c r="BE9" s="102"/>
      <c r="BF9" s="102"/>
      <c r="BG9" s="102"/>
      <c r="BH9" s="102"/>
      <c r="BI9" s="102"/>
      <c r="BJ9" s="102"/>
      <c r="BK9" s="102"/>
      <c r="BL9" s="102"/>
    </row>
    <row r="10" spans="1:64" ht="45" customHeight="1">
      <c r="A10" s="398"/>
      <c r="B10" s="81" t="s">
        <v>222</v>
      </c>
      <c r="C10" s="104" t="s">
        <v>257</v>
      </c>
      <c r="D10" s="83"/>
      <c r="E10" s="84"/>
      <c r="F10" s="85"/>
      <c r="G10" s="86"/>
      <c r="H10" s="87"/>
      <c r="I10" s="4"/>
      <c r="J10" s="4"/>
      <c r="K10" s="4"/>
      <c r="L10" s="4"/>
      <c r="M10" s="4"/>
      <c r="N10" s="4"/>
      <c r="O10" s="4"/>
      <c r="P10" s="1"/>
      <c r="Q10" s="1"/>
      <c r="R10" s="1"/>
      <c r="S10" s="1"/>
      <c r="AP10" s="1"/>
      <c r="AQ10" s="1"/>
      <c r="AR10" s="1"/>
      <c r="AS10" s="1"/>
      <c r="AT10" s="1"/>
      <c r="AU10" s="1"/>
      <c r="AV10" s="1"/>
      <c r="AW10" s="1"/>
      <c r="AX10" s="1"/>
      <c r="AY10" s="1"/>
      <c r="AZ10" s="1"/>
      <c r="BA10" s="1"/>
      <c r="BB10" s="1"/>
      <c r="BC10" s="1"/>
      <c r="BD10" s="1"/>
      <c r="BE10" s="1"/>
      <c r="BF10" s="1"/>
      <c r="BG10" s="1"/>
      <c r="BH10" s="1"/>
      <c r="BI10" s="1"/>
      <c r="BJ10" s="1"/>
      <c r="BK10" s="1"/>
    </row>
    <row r="11" spans="1:64" ht="45" customHeight="1">
      <c r="A11" s="398"/>
      <c r="B11" s="81" t="s">
        <v>258</v>
      </c>
      <c r="C11" s="104" t="s">
        <v>259</v>
      </c>
      <c r="D11" s="83"/>
      <c r="E11" s="84"/>
      <c r="F11" s="85"/>
      <c r="G11" s="86"/>
      <c r="H11" s="87"/>
      <c r="I11" s="4"/>
      <c r="J11" s="4"/>
      <c r="K11" s="4"/>
      <c r="L11" s="4"/>
      <c r="M11" s="4"/>
      <c r="N11" s="4"/>
      <c r="O11" s="4"/>
      <c r="P11" s="1"/>
      <c r="Q11" s="1"/>
      <c r="R11" s="1"/>
      <c r="S11" s="1"/>
      <c r="AP11" s="1"/>
      <c r="AQ11" s="1"/>
      <c r="AR11" s="1"/>
      <c r="AS11" s="1"/>
      <c r="AT11" s="1"/>
      <c r="AU11" s="1"/>
      <c r="AV11" s="1"/>
      <c r="AW11" s="1"/>
      <c r="AX11" s="1"/>
      <c r="AY11" s="1"/>
      <c r="AZ11" s="1"/>
      <c r="BA11" s="1"/>
      <c r="BB11" s="1"/>
      <c r="BC11" s="1"/>
      <c r="BD11" s="1"/>
      <c r="BE11" s="1"/>
      <c r="BF11" s="1"/>
      <c r="BG11" s="1"/>
      <c r="BH11" s="1"/>
      <c r="BI11" s="1"/>
      <c r="BJ11" s="1"/>
      <c r="BK11" s="1"/>
    </row>
    <row r="12" spans="1:64" ht="45" customHeight="1">
      <c r="A12" s="398"/>
      <c r="B12" s="81" t="s">
        <v>260</v>
      </c>
      <c r="C12" s="104" t="s">
        <v>261</v>
      </c>
      <c r="D12" s="83"/>
      <c r="E12" s="84"/>
      <c r="F12" s="85"/>
      <c r="G12" s="86"/>
      <c r="H12" s="87"/>
      <c r="I12" s="4"/>
      <c r="J12" s="4"/>
      <c r="K12" s="4"/>
      <c r="L12" s="4"/>
      <c r="M12" s="4"/>
      <c r="N12" s="4"/>
      <c r="O12" s="4"/>
      <c r="P12" s="1"/>
      <c r="Q12" s="1"/>
      <c r="R12" s="1"/>
      <c r="S12" s="1"/>
      <c r="AP12" s="1"/>
      <c r="AQ12" s="1"/>
      <c r="AR12" s="1"/>
      <c r="AS12" s="1"/>
      <c r="AT12" s="1"/>
      <c r="AU12" s="1"/>
      <c r="AV12" s="1"/>
      <c r="AW12" s="1"/>
      <c r="AX12" s="1"/>
      <c r="AY12" s="1"/>
      <c r="AZ12" s="1"/>
      <c r="BA12" s="1"/>
      <c r="BB12" s="1"/>
      <c r="BC12" s="1"/>
      <c r="BD12" s="1"/>
      <c r="BE12" s="1"/>
      <c r="BF12" s="1"/>
      <c r="BG12" s="1"/>
      <c r="BH12" s="1"/>
      <c r="BI12" s="1"/>
      <c r="BJ12" s="1"/>
      <c r="BK12" s="1"/>
    </row>
    <row r="13" spans="1:64" s="106" customFormat="1" ht="45" customHeight="1">
      <c r="A13" s="398"/>
      <c r="B13" s="81" t="s">
        <v>262</v>
      </c>
      <c r="C13" s="104" t="s">
        <v>263</v>
      </c>
      <c r="D13" s="83"/>
      <c r="E13" s="84"/>
      <c r="F13" s="85"/>
      <c r="G13" s="86"/>
      <c r="H13" s="87"/>
      <c r="I13" s="4"/>
      <c r="J13" s="4"/>
      <c r="K13" s="4"/>
      <c r="L13" s="4"/>
      <c r="M13" s="4"/>
      <c r="N13" s="4"/>
      <c r="O13" s="4"/>
      <c r="P13" s="105"/>
      <c r="Q13" s="105"/>
      <c r="R13" s="105"/>
      <c r="S13" s="105"/>
      <c r="AG13"/>
      <c r="AH13"/>
      <c r="AI13"/>
      <c r="AJ13"/>
      <c r="AK13"/>
      <c r="AL13"/>
      <c r="AM13"/>
      <c r="AP13" s="105"/>
      <c r="AQ13" s="105"/>
      <c r="AR13" s="105"/>
      <c r="AS13" s="105"/>
      <c r="AT13" s="105"/>
      <c r="AU13" s="105"/>
      <c r="AV13" s="105"/>
      <c r="AW13" s="105"/>
      <c r="AX13" s="105"/>
      <c r="AY13" s="105"/>
      <c r="AZ13" s="105"/>
      <c r="BA13" s="105"/>
      <c r="BB13" s="105"/>
      <c r="BC13" s="105"/>
      <c r="BD13" s="105"/>
      <c r="BE13" s="105"/>
      <c r="BF13" s="105"/>
      <c r="BG13" s="105"/>
      <c r="BH13" s="105"/>
      <c r="BI13" s="105"/>
      <c r="BJ13" s="105"/>
      <c r="BK13" s="105"/>
    </row>
    <row r="14" spans="1:64" ht="45" customHeight="1">
      <c r="A14" s="399"/>
      <c r="B14" s="91" t="s">
        <v>78</v>
      </c>
      <c r="C14" s="107" t="s">
        <v>264</v>
      </c>
      <c r="D14" s="93"/>
      <c r="E14" s="94"/>
      <c r="F14" s="95"/>
      <c r="G14" s="96"/>
      <c r="H14" s="97"/>
      <c r="I14" s="4"/>
      <c r="J14" s="4"/>
      <c r="K14" s="4"/>
      <c r="L14" s="4"/>
      <c r="M14" s="4"/>
      <c r="N14" s="4"/>
      <c r="O14" s="4"/>
      <c r="P14" s="1"/>
      <c r="Q14" s="1"/>
      <c r="R14" s="1"/>
      <c r="S14" s="1"/>
      <c r="AP14" s="1"/>
      <c r="AQ14" s="1"/>
      <c r="AR14" s="1"/>
      <c r="AS14" s="1"/>
      <c r="AT14" s="1"/>
      <c r="AU14" s="1"/>
      <c r="AV14" s="1"/>
      <c r="AW14" s="1"/>
      <c r="AX14" s="1"/>
      <c r="AY14" s="1"/>
      <c r="AZ14" s="1"/>
      <c r="BA14" s="1"/>
      <c r="BB14" s="1"/>
      <c r="BC14" s="1"/>
      <c r="BD14" s="1"/>
      <c r="BE14" s="1"/>
      <c r="BF14" s="1"/>
      <c r="BG14" s="1"/>
      <c r="BH14" s="1"/>
      <c r="BI14" s="1"/>
      <c r="BJ14" s="1"/>
      <c r="BK14" s="1"/>
    </row>
    <row r="15" spans="1:64" ht="45" customHeight="1">
      <c r="A15" s="108" t="s">
        <v>265</v>
      </c>
      <c r="B15" s="109" t="s">
        <v>239</v>
      </c>
      <c r="C15" s="414" t="s">
        <v>266</v>
      </c>
      <c r="D15" s="415"/>
      <c r="E15" s="110"/>
      <c r="F15" s="111"/>
      <c r="G15" s="112"/>
      <c r="H15" s="113"/>
      <c r="I15" s="4"/>
      <c r="J15" s="4"/>
      <c r="K15" s="4"/>
      <c r="L15" s="4"/>
      <c r="M15" s="4"/>
      <c r="N15" s="4"/>
      <c r="O15" s="4"/>
      <c r="P15" s="1"/>
      <c r="Q15" s="1"/>
      <c r="R15" s="1"/>
      <c r="S15" s="1"/>
      <c r="AP15" s="1"/>
      <c r="AQ15" s="1"/>
      <c r="AR15" s="1"/>
      <c r="AS15" s="1"/>
      <c r="AT15" s="1"/>
      <c r="AU15" s="1"/>
      <c r="AV15" s="1"/>
      <c r="AW15" s="1"/>
      <c r="AX15" s="1"/>
      <c r="AY15" s="1"/>
      <c r="AZ15" s="1"/>
      <c r="BA15" s="1"/>
      <c r="BB15" s="1"/>
      <c r="BC15" s="1"/>
      <c r="BD15" s="1"/>
      <c r="BE15" s="1"/>
      <c r="BF15" s="1"/>
      <c r="BG15" s="1"/>
      <c r="BH15" s="1"/>
      <c r="BI15" s="1"/>
      <c r="BJ15" s="1"/>
      <c r="BK15" s="1"/>
    </row>
    <row r="16" spans="1:64" s="103" customFormat="1" ht="37.5" customHeight="1">
      <c r="A16" s="397" t="s">
        <v>267</v>
      </c>
      <c r="B16" s="99" t="s">
        <v>239</v>
      </c>
      <c r="C16" s="400" t="s">
        <v>268</v>
      </c>
      <c r="D16" s="401"/>
      <c r="E16" s="402" t="s">
        <v>269</v>
      </c>
      <c r="F16" s="403"/>
      <c r="G16" s="404" t="s">
        <v>270</v>
      </c>
      <c r="H16" s="403"/>
      <c r="I16" s="100"/>
      <c r="J16" s="100"/>
      <c r="K16" s="100"/>
      <c r="L16" s="100"/>
      <c r="M16" s="100"/>
      <c r="N16" s="100"/>
      <c r="O16" s="100"/>
      <c r="P16" s="100"/>
      <c r="Q16" s="101"/>
      <c r="R16" s="102"/>
      <c r="S16" s="102"/>
      <c r="T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row>
    <row r="17" spans="1:64" ht="45" customHeight="1">
      <c r="A17" s="398"/>
      <c r="B17" s="114" t="s">
        <v>223</v>
      </c>
      <c r="C17" s="104" t="s">
        <v>271</v>
      </c>
      <c r="D17" s="83" t="s">
        <v>223</v>
      </c>
      <c r="E17" s="84" t="s">
        <v>272</v>
      </c>
      <c r="F17" s="85"/>
      <c r="G17" s="86" t="s">
        <v>273</v>
      </c>
      <c r="H17" s="87"/>
      <c r="I17" s="4"/>
      <c r="J17" s="4"/>
      <c r="K17" s="4"/>
      <c r="L17" s="4"/>
      <c r="M17" s="4"/>
      <c r="N17" s="4"/>
      <c r="O17" s="4"/>
      <c r="P17" s="1"/>
      <c r="Q17" s="1"/>
      <c r="R17" s="1"/>
      <c r="S17" s="1"/>
      <c r="AP17" s="1"/>
      <c r="AQ17" s="1"/>
      <c r="AR17" s="1"/>
      <c r="AS17" s="1"/>
      <c r="AT17" s="1"/>
      <c r="AU17" s="1"/>
      <c r="AV17" s="1"/>
      <c r="AW17" s="1"/>
      <c r="AX17" s="1"/>
      <c r="AY17" s="1"/>
      <c r="AZ17" s="1"/>
      <c r="BA17" s="1"/>
      <c r="BB17" s="1"/>
      <c r="BC17" s="1"/>
      <c r="BD17" s="1"/>
      <c r="BE17" s="1"/>
      <c r="BF17" s="1"/>
      <c r="BG17" s="1"/>
      <c r="BH17" s="1"/>
      <c r="BI17" s="1"/>
      <c r="BJ17" s="1"/>
      <c r="BK17" s="1"/>
    </row>
    <row r="18" spans="1:64" ht="45" customHeight="1">
      <c r="A18" s="398"/>
      <c r="B18" s="114" t="s">
        <v>274</v>
      </c>
      <c r="C18" s="104" t="s">
        <v>275</v>
      </c>
      <c r="D18" s="83" t="s">
        <v>274</v>
      </c>
      <c r="E18" s="84" t="s">
        <v>276</v>
      </c>
      <c r="F18" s="85"/>
      <c r="G18" s="86" t="s">
        <v>277</v>
      </c>
      <c r="H18" s="87"/>
      <c r="I18" s="4"/>
      <c r="J18" s="4"/>
      <c r="K18" s="4"/>
      <c r="L18" s="4"/>
      <c r="M18" s="4"/>
      <c r="N18" s="4"/>
      <c r="O18" s="4"/>
      <c r="P18" s="1"/>
      <c r="Q18" s="1"/>
      <c r="R18" s="1"/>
      <c r="S18" s="1"/>
      <c r="AP18" s="1"/>
      <c r="AQ18" s="1"/>
      <c r="AR18" s="1"/>
      <c r="AS18" s="1"/>
      <c r="AT18" s="1"/>
      <c r="AU18" s="1"/>
      <c r="AV18" s="1"/>
      <c r="AW18" s="1"/>
      <c r="AX18" s="1"/>
      <c r="AY18" s="1"/>
      <c r="AZ18" s="1"/>
      <c r="BA18" s="1"/>
      <c r="BB18" s="1"/>
      <c r="BC18" s="1"/>
      <c r="BD18" s="1"/>
      <c r="BE18" s="1"/>
      <c r="BF18" s="1"/>
      <c r="BG18" s="1"/>
      <c r="BH18" s="1"/>
      <c r="BI18" s="1"/>
      <c r="BJ18" s="1"/>
      <c r="BK18" s="1"/>
    </row>
    <row r="19" spans="1:64" s="106" customFormat="1" ht="45" customHeight="1">
      <c r="A19" s="398"/>
      <c r="B19" s="114" t="s">
        <v>278</v>
      </c>
      <c r="C19" s="104" t="s">
        <v>279</v>
      </c>
      <c r="D19" s="83" t="s">
        <v>278</v>
      </c>
      <c r="E19" s="84" t="s">
        <v>280</v>
      </c>
      <c r="F19" s="85"/>
      <c r="G19" s="86" t="s">
        <v>281</v>
      </c>
      <c r="H19" s="87"/>
      <c r="I19" s="4"/>
      <c r="J19" s="4"/>
      <c r="K19" s="4"/>
      <c r="L19" s="4"/>
      <c r="M19" s="4"/>
      <c r="N19" s="4"/>
      <c r="O19" s="4"/>
      <c r="P19" s="105"/>
      <c r="Q19" s="105"/>
      <c r="R19" s="105"/>
      <c r="S19" s="105"/>
      <c r="AG19"/>
      <c r="AH19"/>
      <c r="AI19"/>
      <c r="AJ19"/>
      <c r="AK19"/>
      <c r="AL19"/>
      <c r="AM19"/>
      <c r="AP19" s="105"/>
      <c r="AQ19" s="105"/>
      <c r="AR19" s="105"/>
      <c r="AS19" s="105"/>
      <c r="AT19" s="105"/>
      <c r="AU19" s="105"/>
      <c r="AV19" s="105"/>
      <c r="AW19" s="105"/>
      <c r="AX19" s="105"/>
      <c r="AY19" s="105"/>
      <c r="AZ19" s="105"/>
      <c r="BA19" s="105"/>
      <c r="BB19" s="105"/>
      <c r="BC19" s="105"/>
      <c r="BD19" s="105"/>
      <c r="BE19" s="105"/>
      <c r="BF19" s="105"/>
      <c r="BG19" s="105"/>
      <c r="BH19" s="105"/>
      <c r="BI19" s="105"/>
      <c r="BJ19" s="105"/>
      <c r="BK19" s="105"/>
    </row>
    <row r="20" spans="1:64" ht="45" customHeight="1">
      <c r="A20" s="399"/>
      <c r="B20" s="115" t="s">
        <v>282</v>
      </c>
      <c r="C20" s="107" t="s">
        <v>283</v>
      </c>
      <c r="D20" s="93" t="s">
        <v>282</v>
      </c>
      <c r="E20" s="94" t="s">
        <v>284</v>
      </c>
      <c r="F20" s="95"/>
      <c r="G20" s="96" t="s">
        <v>285</v>
      </c>
      <c r="H20" s="97"/>
      <c r="I20" s="4"/>
      <c r="J20" s="4"/>
      <c r="K20" s="4"/>
      <c r="L20" s="4"/>
      <c r="M20" s="4"/>
      <c r="N20" s="4"/>
      <c r="O20" s="4"/>
      <c r="P20" s="1"/>
      <c r="Q20" s="1"/>
      <c r="R20" s="1"/>
      <c r="S20" s="1"/>
      <c r="AP20" s="1"/>
      <c r="AQ20" s="1"/>
      <c r="AR20" s="1"/>
      <c r="AS20" s="1"/>
      <c r="AT20" s="1"/>
      <c r="AU20" s="1"/>
      <c r="AV20" s="1"/>
      <c r="AW20" s="1"/>
      <c r="AX20" s="1"/>
      <c r="AY20" s="1"/>
      <c r="AZ20" s="1"/>
      <c r="BA20" s="1"/>
      <c r="BB20" s="1"/>
      <c r="BC20" s="1"/>
      <c r="BD20" s="1"/>
      <c r="BE20" s="1"/>
      <c r="BF20" s="1"/>
      <c r="BG20" s="1"/>
      <c r="BH20" s="1"/>
      <c r="BI20" s="1"/>
      <c r="BJ20" s="1"/>
      <c r="BK20" s="1"/>
    </row>
    <row r="21" spans="1:64" ht="45" customHeight="1">
      <c r="A21" s="116" t="s">
        <v>286</v>
      </c>
      <c r="B21" s="117"/>
      <c r="C21" s="409" t="s">
        <v>287</v>
      </c>
      <c r="D21" s="410"/>
      <c r="E21" s="411" t="s">
        <v>288</v>
      </c>
      <c r="F21" s="412"/>
      <c r="G21" s="413" t="s">
        <v>289</v>
      </c>
      <c r="H21" s="412"/>
      <c r="J21" s="4"/>
      <c r="K21" s="4"/>
      <c r="L21" s="4"/>
      <c r="M21" s="4"/>
      <c r="N21" s="4"/>
      <c r="O21" s="4"/>
      <c r="P21" s="4"/>
      <c r="Q21" s="1"/>
      <c r="R21" s="1"/>
      <c r="S21" s="1"/>
      <c r="T21" s="1"/>
      <c r="AQ21" s="1"/>
      <c r="AR21" s="1"/>
      <c r="AS21" s="1"/>
      <c r="AT21" s="1"/>
      <c r="AU21" s="1"/>
      <c r="AV21" s="1"/>
      <c r="AW21" s="1"/>
      <c r="AX21" s="1"/>
      <c r="AY21" s="1"/>
      <c r="AZ21" s="1"/>
      <c r="BA21" s="1"/>
      <c r="BB21" s="1"/>
      <c r="BC21" s="1"/>
      <c r="BD21" s="1"/>
      <c r="BE21" s="1"/>
      <c r="BF21" s="1"/>
      <c r="BG21" s="1"/>
      <c r="BH21" s="1"/>
      <c r="BI21" s="1"/>
      <c r="BJ21" s="1"/>
      <c r="BK21" s="1"/>
      <c r="BL21" s="1"/>
    </row>
    <row r="22" spans="1:64" ht="45" customHeight="1">
      <c r="A22" s="116" t="s">
        <v>290</v>
      </c>
      <c r="B22" s="117"/>
      <c r="C22" s="409" t="s">
        <v>291</v>
      </c>
      <c r="D22" s="410"/>
      <c r="E22" s="411" t="s">
        <v>292</v>
      </c>
      <c r="F22" s="412"/>
      <c r="G22" s="413" t="s">
        <v>293</v>
      </c>
      <c r="H22" s="412"/>
      <c r="I22" s="1"/>
      <c r="J22" s="1"/>
      <c r="K22" s="79"/>
      <c r="L22" s="79"/>
      <c r="M22" s="79"/>
      <c r="N22" s="79"/>
      <c r="O22" s="79"/>
      <c r="P22" s="79"/>
      <c r="Q22" s="79"/>
      <c r="R22" s="79"/>
      <c r="S22" s="1"/>
      <c r="AO22" s="1"/>
      <c r="AP22" s="1"/>
      <c r="AQ22" s="1"/>
      <c r="AR22" s="1"/>
      <c r="AS22" s="1"/>
      <c r="AT22" s="1"/>
      <c r="AU22" s="1"/>
      <c r="AV22" s="1"/>
      <c r="AW22" s="1"/>
      <c r="AX22" s="1"/>
      <c r="AY22" s="1"/>
      <c r="AZ22" s="1"/>
      <c r="BA22" s="1"/>
      <c r="BB22" s="1"/>
      <c r="BC22" s="1"/>
      <c r="BD22" s="1"/>
      <c r="BE22" s="1"/>
      <c r="BF22" s="1"/>
      <c r="BG22" s="1"/>
      <c r="BH22" s="1"/>
      <c r="BI22" s="1"/>
      <c r="BJ22" s="1"/>
      <c r="BK22" s="1"/>
      <c r="BL22" s="1"/>
    </row>
    <row r="23" spans="1:64" ht="45" customHeight="1">
      <c r="A23" s="118" t="s">
        <v>294</v>
      </c>
      <c r="B23" s="78" t="s">
        <v>234</v>
      </c>
      <c r="C23" s="409" t="s">
        <v>295</v>
      </c>
      <c r="D23" s="410"/>
      <c r="E23" s="411"/>
      <c r="F23" s="412"/>
      <c r="G23" s="413"/>
      <c r="H23" s="412"/>
      <c r="I23" s="1"/>
      <c r="J23" s="1"/>
      <c r="K23" s="79"/>
      <c r="L23" s="79"/>
      <c r="M23" s="79"/>
      <c r="N23" s="79"/>
      <c r="O23" s="79"/>
      <c r="P23" s="79"/>
      <c r="Q23" s="79"/>
      <c r="R23" s="79"/>
      <c r="S23" s="1"/>
      <c r="AO23" s="1"/>
      <c r="AP23" s="1"/>
      <c r="AQ23" s="1"/>
      <c r="AR23" s="1"/>
      <c r="AS23" s="1"/>
      <c r="AT23" s="1"/>
      <c r="AU23" s="1"/>
      <c r="AV23" s="1"/>
      <c r="AW23" s="1"/>
      <c r="AX23" s="1"/>
      <c r="AY23" s="1"/>
      <c r="AZ23" s="1"/>
      <c r="BA23" s="1"/>
      <c r="BB23" s="1"/>
      <c r="BC23" s="1"/>
      <c r="BD23" s="1"/>
      <c r="BE23" s="1"/>
      <c r="BF23" s="1"/>
      <c r="BG23" s="1"/>
      <c r="BH23" s="1"/>
      <c r="BI23" s="1"/>
      <c r="BJ23" s="1"/>
      <c r="BK23" s="1"/>
      <c r="BL23" s="1"/>
    </row>
    <row r="24" spans="1:64" ht="45" customHeight="1">
      <c r="A24" s="77" t="s">
        <v>296</v>
      </c>
      <c r="B24" s="78" t="s">
        <v>234</v>
      </c>
      <c r="C24" s="409" t="s">
        <v>297</v>
      </c>
      <c r="D24" s="410"/>
      <c r="E24" s="411" t="s">
        <v>298</v>
      </c>
      <c r="F24" s="412"/>
      <c r="G24" s="413" t="s">
        <v>299</v>
      </c>
      <c r="H24" s="412"/>
      <c r="I24" s="4"/>
      <c r="J24" s="4"/>
      <c r="K24" s="119"/>
      <c r="L24" s="119"/>
      <c r="M24" s="119"/>
      <c r="N24" s="119"/>
      <c r="O24" s="119"/>
      <c r="P24" s="119"/>
      <c r="Q24" s="119"/>
      <c r="R24" s="119"/>
      <c r="S24" s="1"/>
      <c r="AO24" s="1"/>
      <c r="AP24" s="1"/>
      <c r="AQ24" s="1"/>
      <c r="AR24" s="1"/>
      <c r="AS24" s="1"/>
      <c r="AT24" s="1"/>
      <c r="AU24" s="417"/>
      <c r="AV24" s="417"/>
      <c r="AW24" s="417"/>
      <c r="AX24" s="417"/>
      <c r="AY24" s="417"/>
      <c r="AZ24" s="417"/>
      <c r="BA24" s="417"/>
      <c r="BB24" s="417"/>
      <c r="BC24" s="417"/>
      <c r="BD24" s="417"/>
      <c r="BE24" s="417"/>
      <c r="BF24" s="417"/>
      <c r="BG24" s="417"/>
      <c r="BH24" s="1"/>
      <c r="BI24" s="1"/>
      <c r="BJ24" s="1"/>
      <c r="BK24" s="1"/>
      <c r="BL24" s="1"/>
    </row>
    <row r="25" spans="1:64" ht="45">
      <c r="A25" s="120" t="s">
        <v>300</v>
      </c>
      <c r="B25" s="109" t="s">
        <v>239</v>
      </c>
      <c r="C25" s="418" t="s">
        <v>301</v>
      </c>
      <c r="D25" s="419"/>
      <c r="E25" s="121"/>
      <c r="F25" s="122"/>
      <c r="G25" s="123"/>
      <c r="H25" s="122"/>
      <c r="I25" s="4"/>
      <c r="J25" s="4"/>
      <c r="K25" s="119"/>
      <c r="L25" s="119"/>
      <c r="M25" s="119"/>
      <c r="N25" s="119"/>
      <c r="O25" s="119"/>
      <c r="P25" s="119"/>
      <c r="Q25" s="119"/>
      <c r="R25" s="119"/>
      <c r="S25" s="1"/>
      <c r="AO25" s="1"/>
      <c r="AP25" s="1"/>
      <c r="AQ25" s="1"/>
      <c r="AR25" s="1"/>
      <c r="AS25" s="1"/>
      <c r="AT25" s="1"/>
      <c r="AU25" s="1"/>
      <c r="AV25" s="1"/>
      <c r="AW25" s="1"/>
      <c r="AX25" s="1"/>
      <c r="AY25" s="1"/>
      <c r="AZ25" s="1"/>
      <c r="BA25" s="1"/>
      <c r="BB25" s="1"/>
      <c r="BC25" s="1"/>
      <c r="BD25" s="1"/>
      <c r="BE25" s="1"/>
      <c r="BF25" s="1"/>
      <c r="BG25" s="1"/>
      <c r="BH25" s="1"/>
      <c r="BI25" s="1"/>
      <c r="BJ25" s="1"/>
      <c r="BK25" s="1"/>
      <c r="BL25" s="1"/>
    </row>
    <row r="26" spans="1:64" ht="45" customHeight="1">
      <c r="A26" s="124" t="s">
        <v>302</v>
      </c>
      <c r="B26" s="125"/>
      <c r="C26" s="420" t="s">
        <v>303</v>
      </c>
      <c r="D26" s="421"/>
      <c r="E26" s="422" t="s">
        <v>304</v>
      </c>
      <c r="F26" s="423"/>
      <c r="G26" s="424" t="s">
        <v>305</v>
      </c>
      <c r="H26" s="423"/>
      <c r="I26" s="4"/>
      <c r="J26" s="4"/>
      <c r="K26" s="119"/>
      <c r="L26" s="119"/>
      <c r="M26" s="119"/>
      <c r="N26" s="119"/>
      <c r="O26" s="119"/>
      <c r="P26" s="119"/>
      <c r="Q26" s="119"/>
      <c r="R26" s="119"/>
      <c r="S26" s="1"/>
      <c r="AO26" s="1"/>
      <c r="AP26" s="1"/>
      <c r="AQ26" s="1"/>
      <c r="AR26" s="1"/>
      <c r="AS26" s="1"/>
      <c r="AT26" s="1"/>
      <c r="AU26" s="417"/>
      <c r="AV26" s="417"/>
      <c r="AW26" s="417"/>
      <c r="AX26" s="417"/>
      <c r="AY26" s="417"/>
      <c r="AZ26" s="417"/>
      <c r="BA26" s="417"/>
      <c r="BB26" s="417"/>
      <c r="BC26" s="417"/>
      <c r="BD26" s="417"/>
      <c r="BE26" s="417"/>
      <c r="BF26" s="417"/>
      <c r="BG26" s="417"/>
      <c r="BH26" s="1"/>
      <c r="BI26" s="1"/>
      <c r="BJ26" s="1"/>
      <c r="BK26" s="1"/>
      <c r="BL26" s="1"/>
    </row>
    <row r="27" spans="1:64" ht="30.2" customHeight="1">
      <c r="A27" s="397" t="s">
        <v>306</v>
      </c>
      <c r="B27" s="80"/>
      <c r="C27" s="400" t="s">
        <v>307</v>
      </c>
      <c r="D27" s="401"/>
      <c r="E27" s="402" t="s">
        <v>308</v>
      </c>
      <c r="F27" s="403"/>
      <c r="G27" s="404" t="s">
        <v>309</v>
      </c>
      <c r="H27" s="403"/>
      <c r="I27" s="126"/>
      <c r="J27" s="126"/>
      <c r="K27" s="79"/>
      <c r="L27" s="79"/>
      <c r="M27" s="79"/>
      <c r="N27" s="79"/>
      <c r="O27" s="79"/>
      <c r="P27" s="79"/>
      <c r="Q27" s="79"/>
      <c r="R27" s="79"/>
      <c r="S27" s="1"/>
      <c r="AO27" s="1"/>
      <c r="AP27" s="1"/>
      <c r="AQ27" s="1"/>
      <c r="AR27" s="1"/>
      <c r="AS27" s="1"/>
      <c r="AT27" s="1"/>
      <c r="AU27" s="417"/>
      <c r="AV27" s="417"/>
      <c r="AW27" s="417"/>
      <c r="AX27" s="417"/>
      <c r="AY27" s="417"/>
      <c r="AZ27" s="417"/>
      <c r="BA27" s="417"/>
      <c r="BB27" s="417"/>
      <c r="BC27" s="417"/>
      <c r="BD27" s="417"/>
      <c r="BE27" s="417"/>
      <c r="BF27" s="417"/>
      <c r="BG27" s="417"/>
      <c r="BH27" s="1"/>
      <c r="BI27" s="1"/>
      <c r="BJ27" s="1"/>
      <c r="BK27" s="1"/>
      <c r="BL27" s="1"/>
    </row>
    <row r="28" spans="1:64" ht="45" customHeight="1">
      <c r="A28" s="398"/>
      <c r="B28" s="127" t="s">
        <v>202</v>
      </c>
      <c r="C28" s="104" t="s">
        <v>310</v>
      </c>
      <c r="D28" s="83"/>
      <c r="E28" s="84" t="s">
        <v>311</v>
      </c>
      <c r="F28" s="85"/>
      <c r="G28" s="86" t="s">
        <v>312</v>
      </c>
      <c r="H28" s="87"/>
      <c r="I28" s="126"/>
      <c r="J28" s="119"/>
      <c r="K28" s="119"/>
      <c r="L28" s="119"/>
      <c r="M28" s="119"/>
      <c r="N28" s="119"/>
      <c r="O28" s="119"/>
      <c r="P28" s="119"/>
      <c r="Q28" s="119"/>
      <c r="R28" s="1"/>
      <c r="AN28" s="1"/>
      <c r="AO28" s="1"/>
      <c r="AP28" s="1"/>
      <c r="AQ28" s="1"/>
      <c r="AR28" s="1"/>
      <c r="AS28" s="1"/>
      <c r="AT28" s="417"/>
      <c r="AU28" s="417"/>
      <c r="AV28" s="417"/>
      <c r="AW28" s="417"/>
      <c r="AX28" s="417"/>
      <c r="AY28" s="417"/>
      <c r="AZ28" s="417"/>
      <c r="BA28" s="417"/>
      <c r="BB28" s="417"/>
      <c r="BC28" s="417"/>
      <c r="BD28" s="417"/>
      <c r="BE28" s="417"/>
      <c r="BF28" s="417"/>
      <c r="BG28" s="1"/>
      <c r="BH28" s="1"/>
      <c r="BI28" s="1"/>
      <c r="BJ28" s="1"/>
      <c r="BK28" s="1"/>
    </row>
    <row r="29" spans="1:64" ht="45" customHeight="1">
      <c r="A29" s="398"/>
      <c r="B29" s="127" t="s">
        <v>313</v>
      </c>
      <c r="C29" s="104" t="s">
        <v>314</v>
      </c>
      <c r="D29" s="83"/>
      <c r="E29" s="84" t="s">
        <v>315</v>
      </c>
      <c r="F29" s="85"/>
      <c r="G29" s="86" t="s">
        <v>316</v>
      </c>
      <c r="H29" s="87"/>
      <c r="I29" s="79"/>
      <c r="J29" s="119"/>
      <c r="K29" s="119"/>
      <c r="L29" s="119"/>
      <c r="M29" s="119"/>
      <c r="N29" s="119"/>
      <c r="O29" s="119"/>
      <c r="P29" s="119"/>
      <c r="Q29" s="119"/>
      <c r="R29" s="1"/>
      <c r="AN29" s="1"/>
      <c r="AO29" s="1"/>
      <c r="AP29" s="1"/>
      <c r="AQ29" s="1"/>
      <c r="AR29" s="1"/>
      <c r="AS29" s="1"/>
      <c r="AT29" s="1"/>
      <c r="AU29" s="1"/>
      <c r="AV29" s="1"/>
      <c r="AW29" s="1"/>
      <c r="AX29" s="1"/>
      <c r="AY29" s="1"/>
      <c r="AZ29" s="1"/>
      <c r="BA29" s="1"/>
      <c r="BB29" s="1"/>
      <c r="BC29" s="1"/>
      <c r="BD29" s="1"/>
      <c r="BE29" s="1"/>
      <c r="BF29" s="1"/>
      <c r="BG29" s="1"/>
      <c r="BH29" s="1"/>
      <c r="BI29" s="1"/>
      <c r="BJ29" s="1"/>
      <c r="BK29" s="1"/>
    </row>
    <row r="30" spans="1:64" ht="45" customHeight="1">
      <c r="A30" s="398"/>
      <c r="B30" s="127" t="s">
        <v>317</v>
      </c>
      <c r="C30" s="128" t="s">
        <v>318</v>
      </c>
      <c r="D30" s="83"/>
      <c r="E30" s="84" t="s">
        <v>319</v>
      </c>
      <c r="F30" s="85"/>
      <c r="G30" s="86" t="s">
        <v>320</v>
      </c>
      <c r="H30" s="87"/>
      <c r="I30" s="79"/>
      <c r="J30" s="119"/>
      <c r="K30" s="119"/>
      <c r="L30" s="119"/>
      <c r="M30" s="119"/>
      <c r="N30" s="119"/>
      <c r="O30" s="119"/>
      <c r="P30" s="119"/>
      <c r="Q30" s="119"/>
      <c r="R30" s="1"/>
      <c r="AN30" s="1"/>
      <c r="AO30" s="1"/>
      <c r="AP30" s="1"/>
      <c r="AQ30" s="1"/>
      <c r="AR30" s="1"/>
      <c r="AS30" s="1"/>
      <c r="AT30" s="1"/>
      <c r="AU30" s="1"/>
      <c r="AV30" s="1"/>
      <c r="AW30" s="1"/>
      <c r="AX30" s="1"/>
      <c r="AY30" s="1"/>
      <c r="AZ30" s="1"/>
      <c r="BA30" s="1"/>
      <c r="BB30" s="1"/>
      <c r="BC30" s="1"/>
      <c r="BD30" s="1"/>
      <c r="BE30" s="1"/>
      <c r="BF30" s="1"/>
      <c r="BG30" s="1"/>
      <c r="BH30" s="1"/>
      <c r="BI30" s="1"/>
      <c r="BJ30" s="1"/>
      <c r="BK30" s="1"/>
    </row>
    <row r="31" spans="1:64" ht="45" customHeight="1">
      <c r="A31" s="416"/>
      <c r="B31" s="129" t="s">
        <v>321</v>
      </c>
      <c r="C31" s="130" t="s">
        <v>322</v>
      </c>
      <c r="D31" s="93"/>
      <c r="E31" s="94" t="s">
        <v>323</v>
      </c>
      <c r="F31" s="95"/>
      <c r="G31" s="96" t="s">
        <v>324</v>
      </c>
      <c r="H31" s="97"/>
      <c r="I31" s="119"/>
      <c r="J31" s="4"/>
      <c r="K31" s="4"/>
      <c r="L31" s="4"/>
      <c r="M31" s="4"/>
      <c r="N31" s="4"/>
      <c r="O31" s="4"/>
      <c r="P31" s="4"/>
      <c r="Q31" s="4"/>
      <c r="R31" s="1"/>
      <c r="AN31" s="2"/>
      <c r="AO31" s="2"/>
      <c r="AP31" s="2"/>
      <c r="AQ31" s="1"/>
      <c r="AR31" s="1"/>
      <c r="AS31" s="1"/>
      <c r="AT31" s="1"/>
      <c r="AU31" s="1"/>
      <c r="AV31" s="1"/>
      <c r="AW31" s="1"/>
      <c r="AX31" s="1"/>
      <c r="AY31" s="1"/>
      <c r="AZ31" s="1"/>
      <c r="BA31" s="1"/>
      <c r="BB31" s="1"/>
      <c r="BC31" s="1"/>
      <c r="BD31" s="1"/>
      <c r="BE31" s="1"/>
      <c r="BF31" s="1"/>
      <c r="BG31" s="1"/>
      <c r="BH31" s="1"/>
      <c r="BI31" s="1"/>
      <c r="BJ31" s="1"/>
      <c r="BK31" s="1"/>
    </row>
    <row r="32" spans="1:64" ht="45" customHeight="1">
      <c r="A32" s="399"/>
      <c r="B32" s="131" t="s">
        <v>325</v>
      </c>
      <c r="C32" s="130" t="s">
        <v>326</v>
      </c>
      <c r="D32" s="132"/>
      <c r="E32" s="133" t="s">
        <v>327</v>
      </c>
      <c r="F32" s="134"/>
      <c r="G32" s="135" t="s">
        <v>328</v>
      </c>
      <c r="H32" s="97"/>
      <c r="I32" s="119"/>
      <c r="J32" s="4"/>
      <c r="K32" s="4"/>
      <c r="L32" s="4"/>
      <c r="M32" s="4"/>
      <c r="N32" s="4"/>
      <c r="O32" s="4"/>
      <c r="P32" s="4"/>
      <c r="Q32" s="4"/>
      <c r="R32" s="1"/>
      <c r="AN32" s="2"/>
      <c r="AO32" s="2"/>
      <c r="AP32" s="2"/>
      <c r="AQ32" s="1"/>
      <c r="AR32" s="1"/>
      <c r="AS32" s="1"/>
      <c r="AT32" s="1"/>
      <c r="AU32" s="1"/>
      <c r="AV32" s="1"/>
      <c r="AW32" s="1"/>
      <c r="AX32" s="1"/>
      <c r="AY32" s="1"/>
      <c r="AZ32" s="1"/>
      <c r="BA32" s="1"/>
      <c r="BB32" s="1"/>
      <c r="BC32" s="1"/>
      <c r="BD32" s="1"/>
      <c r="BE32" s="1"/>
      <c r="BF32" s="1"/>
      <c r="BG32" s="1"/>
      <c r="BH32" s="1"/>
      <c r="BI32" s="1"/>
      <c r="BJ32" s="1"/>
      <c r="BK32" s="1"/>
    </row>
    <row r="33" spans="1:64" ht="45" customHeight="1">
      <c r="A33" s="136" t="s">
        <v>329</v>
      </c>
      <c r="B33" s="78" t="s">
        <v>234</v>
      </c>
      <c r="C33" s="425" t="s">
        <v>330</v>
      </c>
      <c r="D33" s="426"/>
      <c r="E33" s="137"/>
      <c r="F33" s="138"/>
      <c r="G33" s="139"/>
      <c r="H33" s="140"/>
      <c r="I33" s="119"/>
      <c r="J33" s="4"/>
      <c r="K33" s="4"/>
      <c r="L33" s="4"/>
      <c r="M33" s="4"/>
      <c r="N33" s="4"/>
      <c r="O33" s="4"/>
      <c r="P33" s="4"/>
      <c r="Q33" s="4"/>
      <c r="R33" s="1"/>
      <c r="AN33" s="2"/>
      <c r="AO33" s="2"/>
      <c r="AP33" s="2"/>
      <c r="AQ33" s="1"/>
      <c r="AR33" s="1"/>
      <c r="AS33" s="1"/>
      <c r="AT33" s="1"/>
      <c r="AU33" s="1"/>
      <c r="AV33" s="1"/>
      <c r="AW33" s="1"/>
      <c r="AX33" s="1"/>
      <c r="AY33" s="1"/>
      <c r="AZ33" s="1"/>
      <c r="BA33" s="1"/>
      <c r="BB33" s="1"/>
      <c r="BC33" s="1"/>
      <c r="BD33" s="1"/>
      <c r="BE33" s="1"/>
      <c r="BF33" s="1"/>
      <c r="BG33" s="1"/>
      <c r="BH33" s="1"/>
      <c r="BI33" s="1"/>
      <c r="BJ33" s="1"/>
      <c r="BK33" s="1"/>
    </row>
    <row r="34" spans="1:64" ht="45" customHeight="1">
      <c r="A34" s="116" t="s">
        <v>331</v>
      </c>
      <c r="B34" s="109" t="s">
        <v>239</v>
      </c>
      <c r="C34" s="420" t="s">
        <v>332</v>
      </c>
      <c r="D34" s="410"/>
      <c r="E34" s="411" t="s">
        <v>333</v>
      </c>
      <c r="F34" s="412"/>
      <c r="G34" s="427" t="s">
        <v>334</v>
      </c>
      <c r="H34" s="412"/>
      <c r="I34" s="119"/>
      <c r="J34" s="119"/>
      <c r="K34" s="4"/>
      <c r="L34" s="4"/>
      <c r="M34" s="4"/>
      <c r="N34" s="4"/>
      <c r="O34" s="4"/>
      <c r="P34" s="4"/>
      <c r="Q34" s="4"/>
      <c r="R34" s="4"/>
      <c r="S34" s="1"/>
      <c r="AO34" s="1"/>
      <c r="AP34" s="1"/>
      <c r="AQ34" s="1"/>
      <c r="AR34" s="1"/>
      <c r="AS34" s="1"/>
      <c r="AT34" s="1"/>
      <c r="AU34" s="1"/>
      <c r="AV34" s="1"/>
      <c r="AW34" s="1"/>
      <c r="AX34" s="1"/>
      <c r="AY34" s="1"/>
      <c r="AZ34" s="1"/>
      <c r="BA34" s="1"/>
      <c r="BB34" s="1"/>
      <c r="BC34" s="1"/>
      <c r="BD34" s="1"/>
      <c r="BE34" s="1"/>
      <c r="BF34" s="1"/>
      <c r="BG34" s="1"/>
      <c r="BH34" s="1"/>
      <c r="BI34" s="1"/>
      <c r="BJ34" s="1"/>
      <c r="BK34" s="1"/>
      <c r="BL34" s="1"/>
    </row>
    <row r="35" spans="1:64" ht="45" customHeight="1">
      <c r="A35" s="77" t="s">
        <v>335</v>
      </c>
      <c r="B35" s="109" t="s">
        <v>239</v>
      </c>
      <c r="C35" s="420" t="s">
        <v>336</v>
      </c>
      <c r="D35" s="410"/>
      <c r="E35" s="411" t="s">
        <v>333</v>
      </c>
      <c r="F35" s="412"/>
      <c r="G35" s="427" t="s">
        <v>334</v>
      </c>
      <c r="H35" s="412"/>
      <c r="I35" s="119"/>
      <c r="J35" s="119"/>
      <c r="K35" s="4"/>
      <c r="L35" s="4"/>
      <c r="M35" s="4"/>
      <c r="N35" s="4"/>
      <c r="O35" s="4"/>
      <c r="P35" s="4"/>
      <c r="Q35" s="4"/>
      <c r="R35" s="4"/>
      <c r="S35" s="1"/>
      <c r="AO35" s="1"/>
      <c r="AP35" s="1"/>
      <c r="AQ35" s="1"/>
      <c r="AR35" s="1"/>
      <c r="AS35" s="1"/>
      <c r="AT35" s="1"/>
      <c r="AU35" s="1"/>
      <c r="AV35" s="1"/>
      <c r="AW35" s="1"/>
      <c r="AX35" s="1"/>
      <c r="AY35" s="1"/>
      <c r="AZ35" s="1"/>
      <c r="BA35" s="1"/>
      <c r="BB35" s="1"/>
      <c r="BC35" s="1"/>
      <c r="BD35" s="1"/>
      <c r="BE35" s="1"/>
      <c r="BF35" s="1"/>
      <c r="BG35" s="1"/>
      <c r="BH35" s="1"/>
      <c r="BI35" s="1"/>
      <c r="BJ35" s="1"/>
      <c r="BK35" s="1"/>
      <c r="BL35" s="1"/>
    </row>
    <row r="36" spans="1:64" ht="29.25" customHeight="1">
      <c r="A36" s="397" t="s">
        <v>337</v>
      </c>
      <c r="B36" s="80"/>
      <c r="C36" s="141" t="s">
        <v>338</v>
      </c>
      <c r="D36" s="142" t="s">
        <v>339</v>
      </c>
      <c r="E36" s="143" t="s">
        <v>340</v>
      </c>
      <c r="F36" s="144" t="s">
        <v>341</v>
      </c>
      <c r="G36" s="145" t="s">
        <v>342</v>
      </c>
      <c r="H36" s="146" t="s">
        <v>343</v>
      </c>
      <c r="I36" s="119"/>
      <c r="J36" s="119"/>
      <c r="K36" s="4"/>
      <c r="L36" s="4"/>
      <c r="M36" s="4"/>
      <c r="N36" s="4"/>
      <c r="O36" s="4"/>
      <c r="P36" s="4"/>
      <c r="Q36" s="4"/>
      <c r="R36" s="4"/>
      <c r="S36" s="1"/>
      <c r="AO36" s="1"/>
      <c r="AP36" s="1"/>
      <c r="AQ36" s="1"/>
      <c r="AR36" s="1"/>
      <c r="AS36" s="1"/>
      <c r="AT36" s="1"/>
      <c r="AU36" s="1"/>
      <c r="AV36" s="1"/>
      <c r="AW36" s="1"/>
      <c r="AX36" s="1"/>
      <c r="AY36" s="1"/>
      <c r="AZ36" s="1"/>
      <c r="BA36" s="1"/>
      <c r="BB36" s="1"/>
      <c r="BC36" s="1"/>
      <c r="BD36" s="1"/>
      <c r="BE36" s="1"/>
      <c r="BF36" s="1"/>
      <c r="BG36" s="1"/>
      <c r="BH36" s="1"/>
      <c r="BI36" s="1"/>
      <c r="BJ36" s="1"/>
      <c r="BK36" s="1"/>
      <c r="BL36" s="1"/>
    </row>
    <row r="37" spans="1:64" ht="45" customHeight="1">
      <c r="A37" s="398"/>
      <c r="B37" s="127" t="s">
        <v>202</v>
      </c>
      <c r="C37" s="104" t="s">
        <v>344</v>
      </c>
      <c r="D37" s="83" t="s">
        <v>345</v>
      </c>
      <c r="E37" s="147" t="s">
        <v>346</v>
      </c>
      <c r="F37" s="147" t="s">
        <v>347</v>
      </c>
      <c r="G37" s="148" t="s">
        <v>348</v>
      </c>
      <c r="H37" s="148" t="s">
        <v>349</v>
      </c>
      <c r="I37" s="4"/>
      <c r="J37" s="4"/>
      <c r="K37" s="4"/>
      <c r="L37" s="4"/>
      <c r="M37" s="4"/>
      <c r="N37" s="4"/>
      <c r="O37" s="4"/>
      <c r="P37" s="4"/>
      <c r="Q37" s="4"/>
      <c r="R37" s="1"/>
      <c r="AN37" s="1"/>
      <c r="AT37" s="1"/>
      <c r="AU37" s="1"/>
      <c r="AV37" s="1"/>
      <c r="AW37" s="1"/>
      <c r="AX37" s="1"/>
      <c r="AY37" s="1"/>
      <c r="AZ37" s="1"/>
      <c r="BA37" s="1"/>
      <c r="BB37" s="1"/>
      <c r="BC37" s="1"/>
      <c r="BD37" s="1"/>
      <c r="BE37" s="1"/>
      <c r="BF37" s="1"/>
      <c r="BG37" s="1"/>
      <c r="BH37" s="1"/>
      <c r="BI37" s="1"/>
      <c r="BJ37" s="1"/>
      <c r="BK37" s="1"/>
    </row>
    <row r="38" spans="1:64" ht="45" customHeight="1">
      <c r="A38" s="398"/>
      <c r="B38" s="127" t="s">
        <v>313</v>
      </c>
      <c r="C38" s="82" t="s">
        <v>350</v>
      </c>
      <c r="D38" s="83" t="s">
        <v>351</v>
      </c>
      <c r="E38" s="147" t="s">
        <v>352</v>
      </c>
      <c r="F38" s="147" t="s">
        <v>353</v>
      </c>
      <c r="G38" s="148" t="s">
        <v>354</v>
      </c>
      <c r="H38" s="148" t="s">
        <v>355</v>
      </c>
      <c r="I38" s="4"/>
      <c r="J38" s="4"/>
      <c r="K38" s="4"/>
      <c r="L38" s="4"/>
      <c r="M38" s="4"/>
      <c r="N38" s="4"/>
      <c r="O38" s="4"/>
      <c r="P38" s="4"/>
      <c r="Q38" s="4"/>
      <c r="R38" s="1"/>
      <c r="AN38" s="1"/>
      <c r="AT38" s="1"/>
      <c r="AU38" s="1"/>
      <c r="AV38" s="1"/>
      <c r="AW38" s="1"/>
      <c r="AX38" s="1"/>
      <c r="AY38" s="1"/>
      <c r="AZ38" s="1"/>
      <c r="BA38" s="1"/>
      <c r="BB38" s="1"/>
      <c r="BC38" s="1"/>
      <c r="BD38" s="1"/>
      <c r="BE38" s="1"/>
      <c r="BF38" s="1"/>
      <c r="BG38" s="1"/>
      <c r="BH38" s="1"/>
      <c r="BI38" s="1"/>
      <c r="BJ38" s="1"/>
      <c r="BK38" s="1"/>
    </row>
    <row r="39" spans="1:64" ht="45" customHeight="1">
      <c r="A39" s="398"/>
      <c r="B39" s="127" t="s">
        <v>317</v>
      </c>
      <c r="C39" s="104" t="s">
        <v>356</v>
      </c>
      <c r="D39" s="83" t="s">
        <v>357</v>
      </c>
      <c r="E39" s="147" t="s">
        <v>358</v>
      </c>
      <c r="F39" s="147" t="s">
        <v>359</v>
      </c>
      <c r="G39" s="148" t="s">
        <v>360</v>
      </c>
      <c r="H39" s="148" t="s">
        <v>361</v>
      </c>
      <c r="I39" s="79"/>
      <c r="J39" s="4"/>
      <c r="K39" s="4"/>
      <c r="L39" s="4"/>
      <c r="M39" s="4"/>
      <c r="N39" s="4"/>
      <c r="O39" s="4"/>
      <c r="P39" s="4"/>
      <c r="Q39" s="4"/>
      <c r="R39" s="1"/>
      <c r="AN39" s="1"/>
      <c r="AT39" s="1"/>
      <c r="AU39" s="1"/>
      <c r="AV39" s="1"/>
      <c r="AW39" s="1"/>
      <c r="AX39" s="1"/>
      <c r="AY39" s="1"/>
      <c r="AZ39" s="1"/>
      <c r="BA39" s="1"/>
      <c r="BB39" s="1"/>
      <c r="BC39" s="1"/>
      <c r="BD39" s="1"/>
      <c r="BE39" s="1"/>
      <c r="BF39" s="1"/>
      <c r="BG39" s="1"/>
      <c r="BH39" s="1"/>
      <c r="BI39" s="1"/>
      <c r="BJ39" s="1"/>
      <c r="BK39" s="1"/>
    </row>
    <row r="40" spans="1:64" ht="45" customHeight="1">
      <c r="A40" s="399"/>
      <c r="B40" s="129" t="s">
        <v>321</v>
      </c>
      <c r="C40" s="107" t="s">
        <v>362</v>
      </c>
      <c r="D40" s="93" t="s">
        <v>363</v>
      </c>
      <c r="E40" s="149" t="s">
        <v>364</v>
      </c>
      <c r="F40" s="150" t="s">
        <v>365</v>
      </c>
      <c r="G40" s="151" t="s">
        <v>366</v>
      </c>
      <c r="H40" s="152" t="s">
        <v>367</v>
      </c>
      <c r="I40" s="79"/>
      <c r="J40" s="4"/>
      <c r="K40" s="4"/>
      <c r="L40" s="4"/>
      <c r="M40" s="4"/>
      <c r="N40" s="4"/>
      <c r="O40" s="4"/>
      <c r="P40" s="4"/>
      <c r="Q40" s="4"/>
      <c r="R40" s="1"/>
      <c r="AN40" s="1"/>
      <c r="AT40" s="1"/>
      <c r="AU40" s="1"/>
      <c r="AV40" s="1"/>
      <c r="AW40" s="1"/>
      <c r="AX40" s="1"/>
      <c r="AY40" s="1"/>
      <c r="AZ40" s="1"/>
      <c r="BA40" s="1"/>
      <c r="BB40" s="1"/>
      <c r="BC40" s="1"/>
      <c r="BD40" s="1"/>
      <c r="BE40" s="1"/>
      <c r="BF40" s="1"/>
      <c r="BG40" s="1"/>
      <c r="BH40" s="1"/>
      <c r="BI40" s="1"/>
      <c r="BJ40" s="1"/>
      <c r="BK40" s="1"/>
    </row>
    <row r="41" spans="1:64" ht="45" customHeight="1">
      <c r="A41" s="77" t="s">
        <v>368</v>
      </c>
      <c r="B41" s="153"/>
      <c r="C41" s="409" t="s">
        <v>369</v>
      </c>
      <c r="D41" s="410"/>
      <c r="E41" s="411" t="s">
        <v>370</v>
      </c>
      <c r="F41" s="412"/>
      <c r="G41" s="413" t="s">
        <v>371</v>
      </c>
      <c r="H41" s="412"/>
      <c r="I41" s="154"/>
      <c r="J41" s="154"/>
      <c r="K41" s="4"/>
      <c r="L41" s="4"/>
      <c r="M41" s="4"/>
      <c r="N41" s="4"/>
      <c r="O41" s="4"/>
      <c r="P41" s="4"/>
      <c r="Q41" s="4"/>
      <c r="R41" s="4"/>
      <c r="S41" s="1"/>
      <c r="AO41" s="1"/>
      <c r="AP41" s="1"/>
      <c r="AQ41" s="1"/>
      <c r="AR41" s="1"/>
      <c r="AS41" s="1"/>
      <c r="AT41" s="1"/>
      <c r="AU41" s="1"/>
      <c r="AV41" s="1"/>
      <c r="AW41" s="1"/>
      <c r="AX41" s="1"/>
      <c r="AY41" s="1"/>
      <c r="AZ41" s="1"/>
      <c r="BA41" s="1"/>
      <c r="BB41" s="1"/>
      <c r="BC41" s="1"/>
      <c r="BD41" s="1"/>
      <c r="BE41" s="1"/>
      <c r="BF41" s="1"/>
      <c r="BG41" s="1"/>
      <c r="BH41" s="1"/>
      <c r="BI41" s="1"/>
      <c r="BJ41" s="1"/>
      <c r="BK41" s="1"/>
      <c r="BL41" s="1"/>
    </row>
    <row r="42" spans="1:64" ht="30.2" customHeight="1">
      <c r="A42" s="397" t="s">
        <v>372</v>
      </c>
      <c r="B42" s="155"/>
      <c r="C42" s="156" t="s">
        <v>373</v>
      </c>
      <c r="D42" s="157" t="s">
        <v>339</v>
      </c>
      <c r="E42" s="158" t="s">
        <v>374</v>
      </c>
      <c r="F42" s="159" t="s">
        <v>341</v>
      </c>
      <c r="G42" s="160" t="s">
        <v>375</v>
      </c>
      <c r="H42" s="146" t="s">
        <v>376</v>
      </c>
      <c r="I42" s="4"/>
      <c r="J42" s="4"/>
      <c r="K42" s="4"/>
      <c r="L42" s="4"/>
      <c r="M42" s="4"/>
      <c r="N42" s="4"/>
      <c r="O42" s="4"/>
      <c r="P42" s="4"/>
      <c r="Q42" s="4"/>
      <c r="R42" s="1"/>
      <c r="AN42" s="1"/>
      <c r="AO42" s="1"/>
      <c r="AP42" s="1"/>
      <c r="AQ42" s="1"/>
      <c r="AR42" s="1"/>
      <c r="AS42" s="1"/>
      <c r="AT42" s="1"/>
      <c r="AU42" s="1"/>
      <c r="AV42" s="1"/>
      <c r="AW42" s="1"/>
      <c r="AX42" s="1"/>
      <c r="AY42" s="1"/>
      <c r="AZ42" s="1"/>
      <c r="BA42" s="1"/>
      <c r="BB42" s="1"/>
      <c r="BC42" s="1"/>
      <c r="BD42" s="1"/>
      <c r="BE42" s="1"/>
      <c r="BF42" s="1"/>
      <c r="BG42" s="1"/>
      <c r="BH42" s="1"/>
      <c r="BI42" s="1"/>
      <c r="BJ42" s="1"/>
      <c r="BK42" s="1"/>
    </row>
    <row r="43" spans="1:64" ht="45" customHeight="1">
      <c r="A43" s="398"/>
      <c r="B43" s="127" t="s">
        <v>202</v>
      </c>
      <c r="C43" s="82" t="s">
        <v>377</v>
      </c>
      <c r="D43" s="83" t="s">
        <v>378</v>
      </c>
      <c r="E43" s="161" t="s">
        <v>379</v>
      </c>
      <c r="F43" s="147" t="s">
        <v>380</v>
      </c>
      <c r="G43" s="162" t="s">
        <v>381</v>
      </c>
      <c r="H43" s="148" t="s">
        <v>382</v>
      </c>
      <c r="I43" s="154"/>
      <c r="J43" s="4"/>
      <c r="K43" s="4"/>
      <c r="L43" s="4"/>
      <c r="M43" s="4"/>
      <c r="N43" s="4"/>
      <c r="O43" s="4"/>
      <c r="P43" s="4"/>
      <c r="Q43" s="4"/>
      <c r="R43" s="1"/>
      <c r="AN43" s="1"/>
      <c r="AO43" s="1"/>
      <c r="AP43" s="1"/>
      <c r="AQ43" s="1"/>
      <c r="AR43" s="1"/>
      <c r="AS43" s="1"/>
      <c r="AT43" s="1"/>
      <c r="AU43" s="1"/>
      <c r="AV43" s="1"/>
      <c r="AW43" s="1"/>
      <c r="AX43" s="1"/>
      <c r="AY43" s="1"/>
      <c r="AZ43" s="1"/>
      <c r="BA43" s="1"/>
      <c r="BB43" s="1"/>
      <c r="BC43" s="1"/>
      <c r="BD43" s="1"/>
      <c r="BE43" s="1"/>
      <c r="BF43" s="1"/>
      <c r="BG43" s="1"/>
      <c r="BH43" s="1"/>
      <c r="BI43" s="1"/>
      <c r="BJ43" s="1"/>
      <c r="BK43" s="1"/>
    </row>
    <row r="44" spans="1:64" ht="45" customHeight="1">
      <c r="A44" s="398"/>
      <c r="B44" s="127" t="s">
        <v>313</v>
      </c>
      <c r="C44" s="82" t="s">
        <v>383</v>
      </c>
      <c r="D44" s="83" t="s">
        <v>384</v>
      </c>
      <c r="E44" s="161" t="s">
        <v>385</v>
      </c>
      <c r="F44" s="147" t="s">
        <v>386</v>
      </c>
      <c r="G44" s="162" t="s">
        <v>387</v>
      </c>
      <c r="H44" s="148" t="s">
        <v>388</v>
      </c>
      <c r="I44" s="163"/>
      <c r="J44" s="4"/>
      <c r="K44" s="4"/>
      <c r="L44" s="4"/>
      <c r="M44" s="4"/>
      <c r="N44" s="4"/>
      <c r="O44" s="4"/>
      <c r="P44" s="4"/>
      <c r="Q44" s="4"/>
      <c r="R44" s="1"/>
      <c r="AN44" s="1"/>
      <c r="AO44" s="1"/>
      <c r="AP44" s="1"/>
      <c r="AQ44" s="1"/>
      <c r="AR44" s="1"/>
      <c r="AS44" s="1"/>
      <c r="AT44" s="1"/>
      <c r="AU44" s="1"/>
      <c r="AV44" s="1"/>
      <c r="AW44" s="1"/>
      <c r="AX44" s="1"/>
      <c r="AY44" s="1"/>
      <c r="AZ44" s="1"/>
      <c r="BA44" s="1"/>
      <c r="BB44" s="1"/>
      <c r="BC44" s="1"/>
      <c r="BD44" s="1"/>
      <c r="BE44" s="1"/>
      <c r="BF44" s="1"/>
      <c r="BG44" s="1"/>
      <c r="BH44" s="1"/>
      <c r="BI44" s="1"/>
      <c r="BJ44" s="1"/>
      <c r="BK44" s="1"/>
    </row>
    <row r="45" spans="1:64" ht="45" customHeight="1">
      <c r="A45" s="398"/>
      <c r="B45" s="127" t="s">
        <v>317</v>
      </c>
      <c r="C45" s="82" t="s">
        <v>389</v>
      </c>
      <c r="D45" s="83" t="s">
        <v>390</v>
      </c>
      <c r="E45" s="161" t="s">
        <v>391</v>
      </c>
      <c r="F45" s="147" t="s">
        <v>392</v>
      </c>
      <c r="G45" s="162" t="s">
        <v>393</v>
      </c>
      <c r="H45" s="148" t="s">
        <v>394</v>
      </c>
      <c r="I45" s="163"/>
      <c r="J45" s="4"/>
      <c r="K45" s="4"/>
      <c r="L45" s="4"/>
      <c r="M45" s="4"/>
      <c r="N45" s="4"/>
      <c r="O45" s="4"/>
      <c r="P45" s="4"/>
      <c r="Q45" s="4"/>
      <c r="R45" s="1"/>
      <c r="AN45" s="1"/>
      <c r="AO45" s="1"/>
      <c r="AP45" s="1"/>
      <c r="AQ45" s="1"/>
      <c r="AR45" s="1"/>
      <c r="AS45" s="1"/>
      <c r="AT45" s="1"/>
      <c r="AU45" s="1"/>
      <c r="AV45" s="1"/>
      <c r="AW45" s="1"/>
      <c r="AX45" s="1"/>
      <c r="AY45" s="1"/>
      <c r="AZ45" s="1"/>
      <c r="BA45" s="1"/>
      <c r="BB45" s="1"/>
      <c r="BC45" s="1"/>
      <c r="BD45" s="1"/>
      <c r="BE45" s="1"/>
      <c r="BF45" s="1"/>
      <c r="BG45" s="1"/>
      <c r="BH45" s="1"/>
      <c r="BI45" s="1"/>
      <c r="BJ45" s="1"/>
      <c r="BK45" s="1"/>
    </row>
    <row r="46" spans="1:64" ht="45" customHeight="1">
      <c r="A46" s="416"/>
      <c r="B46" s="129" t="s">
        <v>321</v>
      </c>
      <c r="C46" s="107" t="s">
        <v>395</v>
      </c>
      <c r="D46" s="93" t="s">
        <v>363</v>
      </c>
      <c r="E46" s="149" t="s">
        <v>396</v>
      </c>
      <c r="F46" s="150" t="s">
        <v>365</v>
      </c>
      <c r="G46" s="151" t="s">
        <v>397</v>
      </c>
      <c r="H46" s="152" t="s">
        <v>367</v>
      </c>
      <c r="I46" s="163"/>
      <c r="J46" s="163"/>
      <c r="K46" s="163"/>
      <c r="L46" s="163"/>
      <c r="M46" s="163"/>
      <c r="N46" s="163"/>
      <c r="O46" s="163"/>
      <c r="P46" s="163"/>
      <c r="Q46" s="163"/>
      <c r="R46" s="163"/>
      <c r="S46" s="163"/>
      <c r="T46" s="163"/>
      <c r="U46" s="163"/>
      <c r="V46" s="163"/>
      <c r="W46" s="163"/>
      <c r="X46" s="163"/>
      <c r="Y46" s="163"/>
      <c r="AN46" s="1"/>
      <c r="AO46" s="1"/>
      <c r="AP46" s="1"/>
      <c r="AQ46" s="1"/>
      <c r="AR46" s="1"/>
      <c r="AS46" s="1"/>
      <c r="AT46" s="1"/>
      <c r="AU46" s="1"/>
      <c r="AV46" s="1"/>
      <c r="AW46" s="1"/>
      <c r="AX46" s="1"/>
      <c r="AY46" s="1"/>
      <c r="AZ46" s="1"/>
      <c r="BA46" s="1"/>
      <c r="BB46" s="1"/>
      <c r="BC46" s="1"/>
      <c r="BD46" s="1"/>
      <c r="BE46" s="1"/>
      <c r="BF46" s="1"/>
      <c r="BG46" s="1"/>
      <c r="BH46" s="1"/>
      <c r="BI46" s="1"/>
      <c r="BJ46" s="1"/>
      <c r="BK46" s="1"/>
    </row>
    <row r="47" spans="1:64" ht="45" customHeight="1">
      <c r="A47" s="399"/>
      <c r="B47" s="131" t="s">
        <v>325</v>
      </c>
      <c r="C47" s="130" t="s">
        <v>395</v>
      </c>
      <c r="D47" s="132" t="s">
        <v>398</v>
      </c>
      <c r="E47" s="164" t="s">
        <v>396</v>
      </c>
      <c r="F47" s="165" t="s">
        <v>399</v>
      </c>
      <c r="G47" s="166" t="s">
        <v>400</v>
      </c>
      <c r="H47" s="167" t="s">
        <v>401</v>
      </c>
      <c r="I47" s="163"/>
      <c r="J47" s="163"/>
      <c r="K47" s="163"/>
      <c r="L47" s="163"/>
      <c r="M47" s="163"/>
      <c r="N47" s="163"/>
      <c r="O47" s="163"/>
      <c r="P47" s="163"/>
      <c r="Q47" s="163"/>
      <c r="R47" s="163"/>
      <c r="S47" s="163"/>
      <c r="T47" s="163"/>
      <c r="U47" s="163"/>
      <c r="V47" s="163"/>
      <c r="W47" s="163"/>
      <c r="X47" s="163"/>
      <c r="Y47" s="163"/>
      <c r="AN47" s="1"/>
      <c r="AO47" s="1"/>
      <c r="AP47" s="1"/>
      <c r="AQ47" s="1"/>
      <c r="AR47" s="1"/>
      <c r="AS47" s="1"/>
      <c r="AT47" s="1"/>
      <c r="AU47" s="1"/>
      <c r="AV47" s="1"/>
      <c r="AW47" s="1"/>
      <c r="AX47" s="1"/>
      <c r="AY47" s="1"/>
      <c r="AZ47" s="1"/>
      <c r="BA47" s="1"/>
      <c r="BB47" s="1"/>
      <c r="BC47" s="1"/>
      <c r="BD47" s="1"/>
      <c r="BE47" s="1"/>
      <c r="BF47" s="1"/>
      <c r="BG47" s="1"/>
      <c r="BH47" s="1"/>
      <c r="BI47" s="1"/>
      <c r="BJ47" s="1"/>
      <c r="BK47" s="1"/>
    </row>
    <row r="48" spans="1:64" ht="45" customHeight="1">
      <c r="A48" s="168" t="s">
        <v>402</v>
      </c>
      <c r="B48" s="169" t="s">
        <v>234</v>
      </c>
      <c r="C48" s="425" t="s">
        <v>403</v>
      </c>
      <c r="D48" s="426"/>
      <c r="E48" s="170"/>
      <c r="F48" s="138"/>
      <c r="G48" s="171"/>
      <c r="H48" s="172"/>
      <c r="I48" s="163"/>
      <c r="J48" s="163"/>
      <c r="K48" s="163"/>
      <c r="L48" s="163"/>
      <c r="M48" s="163"/>
      <c r="N48" s="163"/>
      <c r="O48" s="163"/>
      <c r="P48" s="163"/>
      <c r="Q48" s="163"/>
      <c r="R48" s="163"/>
      <c r="S48" s="163"/>
      <c r="T48" s="163"/>
      <c r="U48" s="163"/>
      <c r="V48" s="163"/>
      <c r="W48" s="163"/>
      <c r="X48" s="163"/>
      <c r="Y48" s="163"/>
      <c r="AN48" s="1"/>
      <c r="AO48" s="1"/>
      <c r="AP48" s="1"/>
      <c r="AQ48" s="1"/>
      <c r="AR48" s="1"/>
      <c r="AS48" s="1"/>
      <c r="AT48" s="1"/>
      <c r="AU48" s="1"/>
      <c r="AV48" s="1"/>
      <c r="AW48" s="1"/>
      <c r="AX48" s="1"/>
      <c r="AY48" s="1"/>
      <c r="AZ48" s="1"/>
      <c r="BA48" s="1"/>
      <c r="BB48" s="1"/>
      <c r="BC48" s="1"/>
      <c r="BD48" s="1"/>
      <c r="BE48" s="1"/>
      <c r="BF48" s="1"/>
      <c r="BG48" s="1"/>
      <c r="BH48" s="1"/>
      <c r="BI48" s="1"/>
      <c r="BJ48" s="1"/>
      <c r="BK48" s="1"/>
    </row>
    <row r="49" spans="1:64" ht="181.5" customHeight="1">
      <c r="A49" s="77" t="s">
        <v>404</v>
      </c>
      <c r="B49" s="153"/>
      <c r="C49" s="428" t="s">
        <v>405</v>
      </c>
      <c r="D49" s="429"/>
      <c r="E49" s="430" t="s">
        <v>406</v>
      </c>
      <c r="F49" s="431"/>
      <c r="G49" s="432" t="s">
        <v>407</v>
      </c>
      <c r="H49" s="412"/>
      <c r="I49" s="163"/>
      <c r="J49" s="163"/>
      <c r="K49" s="163"/>
      <c r="L49" s="163"/>
      <c r="M49" s="163"/>
      <c r="N49" s="163"/>
      <c r="O49" s="163"/>
      <c r="P49" s="163"/>
      <c r="Q49" s="163"/>
      <c r="R49" s="163"/>
      <c r="S49" s="163"/>
      <c r="T49" s="163"/>
      <c r="U49" s="163"/>
      <c r="V49" s="163"/>
      <c r="W49" s="163"/>
      <c r="X49" s="163"/>
      <c r="Y49" s="163"/>
      <c r="Z49" s="163"/>
      <c r="AO49" s="1"/>
      <c r="AP49" s="1"/>
      <c r="AQ49" s="1"/>
      <c r="AR49" s="1"/>
      <c r="AS49" s="1"/>
      <c r="AT49" s="1"/>
      <c r="AU49" s="1"/>
      <c r="AV49" s="1"/>
      <c r="AW49" s="1"/>
      <c r="AX49" s="1"/>
      <c r="AY49" s="1"/>
      <c r="AZ49" s="1"/>
      <c r="BA49" s="1"/>
      <c r="BB49" s="1"/>
      <c r="BC49" s="1"/>
      <c r="BD49" s="1"/>
      <c r="BE49" s="1"/>
      <c r="BF49" s="1"/>
      <c r="BG49" s="1"/>
      <c r="BH49" s="1"/>
      <c r="BI49" s="1"/>
      <c r="BJ49" s="1"/>
      <c r="BK49" s="1"/>
      <c r="BL49" s="1"/>
    </row>
    <row r="50" spans="1:64" ht="30.2" customHeight="1">
      <c r="A50" s="433" t="s">
        <v>408</v>
      </c>
      <c r="B50" s="80"/>
      <c r="C50" s="156" t="s">
        <v>409</v>
      </c>
      <c r="D50" s="173" t="s">
        <v>410</v>
      </c>
      <c r="E50" s="174" t="s">
        <v>411</v>
      </c>
      <c r="F50" s="144" t="s">
        <v>412</v>
      </c>
      <c r="G50" s="175" t="s">
        <v>413</v>
      </c>
      <c r="H50" s="176" t="s">
        <v>414</v>
      </c>
      <c r="I50" s="163"/>
      <c r="J50" s="163"/>
      <c r="K50" s="163"/>
      <c r="L50" s="163"/>
      <c r="M50" s="163"/>
      <c r="N50" s="163"/>
      <c r="O50" s="163"/>
      <c r="P50" s="163"/>
      <c r="Q50" s="163"/>
      <c r="R50" s="163"/>
      <c r="S50" s="163"/>
      <c r="T50" s="163"/>
      <c r="U50" s="163"/>
      <c r="V50" s="163"/>
      <c r="W50" s="163"/>
      <c r="X50" s="163"/>
      <c r="Y50" s="163"/>
      <c r="Z50" s="163"/>
      <c r="AO50" s="1"/>
      <c r="AP50" s="1"/>
      <c r="AQ50" s="1"/>
      <c r="AR50" s="1"/>
      <c r="AS50" s="1"/>
      <c r="AT50" s="1"/>
      <c r="AU50" s="1"/>
      <c r="AV50" s="1"/>
      <c r="AW50" s="1"/>
      <c r="AX50" s="1"/>
      <c r="AY50" s="1"/>
      <c r="AZ50" s="1"/>
      <c r="BA50" s="1"/>
      <c r="BB50" s="1"/>
      <c r="BC50" s="1"/>
      <c r="BD50" s="1"/>
      <c r="BE50" s="1"/>
      <c r="BF50" s="1"/>
      <c r="BG50" s="1"/>
      <c r="BH50" s="1"/>
      <c r="BI50" s="1"/>
      <c r="BJ50" s="1"/>
      <c r="BK50" s="1"/>
      <c r="BL50" s="1"/>
    </row>
    <row r="51" spans="1:64" ht="142.5" customHeight="1">
      <c r="A51" s="398"/>
      <c r="B51" s="177">
        <v>4</v>
      </c>
      <c r="C51" s="178" t="s">
        <v>415</v>
      </c>
      <c r="D51" s="179" t="s">
        <v>416</v>
      </c>
      <c r="E51" s="180" t="s">
        <v>417</v>
      </c>
      <c r="F51" s="147" t="s">
        <v>418</v>
      </c>
      <c r="G51" s="181" t="s">
        <v>419</v>
      </c>
      <c r="H51" s="148" t="s">
        <v>416</v>
      </c>
      <c r="I51" s="4"/>
      <c r="J51" s="1"/>
      <c r="K51" s="1"/>
      <c r="L51" s="1"/>
      <c r="M51" s="1"/>
      <c r="N51" s="1"/>
      <c r="O51" s="1"/>
      <c r="P51" s="1"/>
      <c r="Q51" s="1"/>
      <c r="R51" s="1"/>
      <c r="S51" s="1"/>
      <c r="T51" s="1"/>
      <c r="U51" s="1"/>
      <c r="V51" s="1"/>
      <c r="W51" s="1"/>
      <c r="X51" s="1"/>
      <c r="Y51" s="1"/>
      <c r="AN51" s="1"/>
      <c r="AO51" s="1"/>
      <c r="AP51" s="1"/>
      <c r="AQ51" s="1"/>
      <c r="AR51" s="1"/>
      <c r="AS51" s="1"/>
      <c r="AT51" s="1"/>
      <c r="AU51" s="1"/>
      <c r="AV51" s="1"/>
      <c r="AW51" s="1"/>
      <c r="AX51" s="1"/>
      <c r="AY51" s="1"/>
      <c r="AZ51" s="1"/>
      <c r="BA51" s="1"/>
      <c r="BB51" s="1"/>
      <c r="BC51" s="1"/>
      <c r="BD51" s="1"/>
      <c r="BE51" s="1"/>
      <c r="BF51" s="1"/>
      <c r="BG51" s="1"/>
      <c r="BH51" s="1"/>
      <c r="BI51" s="1"/>
      <c r="BJ51" s="1"/>
      <c r="BK51" s="1"/>
    </row>
    <row r="52" spans="1:64" ht="140.25" customHeight="1">
      <c r="A52" s="398"/>
      <c r="B52" s="177">
        <v>3</v>
      </c>
      <c r="C52" s="178" t="s">
        <v>420</v>
      </c>
      <c r="D52" s="179" t="s">
        <v>421</v>
      </c>
      <c r="E52" s="147" t="s">
        <v>422</v>
      </c>
      <c r="F52" s="147" t="s">
        <v>423</v>
      </c>
      <c r="G52" s="182" t="s">
        <v>424</v>
      </c>
      <c r="H52" s="148" t="s">
        <v>421</v>
      </c>
      <c r="I52" s="4"/>
      <c r="J52" s="1"/>
      <c r="K52" s="1"/>
      <c r="L52" s="1"/>
      <c r="M52" s="1"/>
      <c r="N52" s="1"/>
      <c r="O52" s="1"/>
      <c r="P52" s="1"/>
      <c r="Q52" s="1"/>
      <c r="R52" s="1"/>
      <c r="S52" s="1"/>
      <c r="T52" s="1"/>
      <c r="U52" s="1"/>
      <c r="V52" s="1"/>
      <c r="W52" s="1"/>
      <c r="X52" s="1"/>
      <c r="Y52" s="1"/>
      <c r="AN52" s="1"/>
      <c r="AO52" s="1"/>
      <c r="AP52" s="1"/>
      <c r="AQ52" s="1"/>
      <c r="AR52" s="1"/>
      <c r="AS52" s="1"/>
      <c r="AT52" s="1"/>
      <c r="AU52" s="1"/>
      <c r="AV52" s="1"/>
      <c r="AW52" s="1"/>
      <c r="AX52" s="1"/>
      <c r="AY52" s="1"/>
      <c r="AZ52" s="1"/>
      <c r="BA52" s="1"/>
      <c r="BB52" s="1"/>
      <c r="BC52" s="1"/>
      <c r="BD52" s="1"/>
      <c r="BE52" s="1"/>
      <c r="BF52" s="1"/>
      <c r="BG52" s="1"/>
      <c r="BH52" s="1"/>
      <c r="BI52" s="1"/>
      <c r="BJ52" s="1"/>
      <c r="BK52" s="1"/>
    </row>
    <row r="53" spans="1:64" ht="121.7" customHeight="1">
      <c r="A53" s="398"/>
      <c r="B53" s="177">
        <v>2</v>
      </c>
      <c r="C53" s="178" t="s">
        <v>425</v>
      </c>
      <c r="D53" s="179" t="s">
        <v>426</v>
      </c>
      <c r="E53" s="147" t="s">
        <v>427</v>
      </c>
      <c r="F53" s="147" t="s">
        <v>428</v>
      </c>
      <c r="G53" s="182" t="s">
        <v>429</v>
      </c>
      <c r="H53" s="148" t="s">
        <v>426</v>
      </c>
      <c r="I53" s="4"/>
      <c r="J53" s="1"/>
      <c r="K53" s="1"/>
      <c r="L53" s="1"/>
      <c r="M53" s="1"/>
      <c r="N53" s="1"/>
      <c r="O53" s="1"/>
      <c r="P53" s="1"/>
      <c r="Q53" s="1"/>
      <c r="R53" s="1"/>
      <c r="S53" s="1"/>
      <c r="T53" s="1"/>
      <c r="U53" s="1"/>
      <c r="V53" s="1"/>
      <c r="W53" s="1"/>
      <c r="X53" s="1"/>
      <c r="Y53" s="1"/>
      <c r="AN53" s="1"/>
      <c r="AO53" s="1"/>
      <c r="AP53" s="1"/>
      <c r="AQ53" s="1"/>
      <c r="AR53" s="1"/>
      <c r="AS53" s="1"/>
      <c r="AT53" s="1"/>
      <c r="AU53" s="1"/>
      <c r="AV53" s="1"/>
      <c r="AW53" s="1"/>
      <c r="AX53" s="1"/>
      <c r="AY53" s="1"/>
      <c r="AZ53" s="1"/>
      <c r="BA53" s="1"/>
      <c r="BB53" s="1"/>
      <c r="BC53" s="1"/>
      <c r="BD53" s="1"/>
      <c r="BE53" s="1"/>
      <c r="BF53" s="1"/>
      <c r="BG53" s="1"/>
      <c r="BH53" s="1"/>
      <c r="BI53" s="1"/>
      <c r="BJ53" s="1"/>
      <c r="BK53" s="1"/>
    </row>
    <row r="54" spans="1:64" ht="90" customHeight="1">
      <c r="A54" s="399"/>
      <c r="B54" s="131">
        <v>1</v>
      </c>
      <c r="C54" s="183" t="s">
        <v>430</v>
      </c>
      <c r="D54" s="184" t="s">
        <v>431</v>
      </c>
      <c r="E54" s="150" t="s">
        <v>432</v>
      </c>
      <c r="F54" s="185"/>
      <c r="G54" s="152" t="s">
        <v>433</v>
      </c>
      <c r="H54" s="186" t="s">
        <v>431</v>
      </c>
      <c r="I54" s="4"/>
      <c r="J54" s="1"/>
      <c r="K54" s="1"/>
      <c r="L54" s="1"/>
      <c r="M54" s="1"/>
      <c r="N54" s="1"/>
      <c r="O54" s="1"/>
      <c r="P54" s="1"/>
      <c r="Q54" s="1"/>
      <c r="R54" s="1"/>
      <c r="S54" s="1"/>
      <c r="T54" s="1"/>
      <c r="U54" s="1"/>
      <c r="V54" s="1"/>
      <c r="W54" s="1"/>
      <c r="X54" s="1"/>
      <c r="Y54" s="1"/>
      <c r="AN54" s="1"/>
      <c r="AO54" s="1"/>
      <c r="AP54" s="1"/>
      <c r="AQ54" s="1"/>
      <c r="AR54" s="1"/>
      <c r="AS54" s="1"/>
      <c r="AT54" s="1"/>
      <c r="AU54" s="1"/>
      <c r="AV54" s="1"/>
      <c r="AW54" s="1"/>
      <c r="AX54" s="1"/>
      <c r="AY54" s="1"/>
      <c r="AZ54" s="1"/>
      <c r="BA54" s="1"/>
      <c r="BB54" s="1"/>
      <c r="BC54" s="1"/>
      <c r="BD54" s="1"/>
      <c r="BE54" s="1"/>
      <c r="BF54" s="1"/>
      <c r="BG54" s="1"/>
      <c r="BH54" s="1"/>
      <c r="BI54" s="1"/>
      <c r="BJ54" s="1"/>
      <c r="BK54" s="1"/>
    </row>
    <row r="55" spans="1:64" ht="30.2" customHeight="1">
      <c r="A55" s="433" t="s">
        <v>434</v>
      </c>
      <c r="B55" s="80"/>
      <c r="C55" s="400" t="s">
        <v>435</v>
      </c>
      <c r="D55" s="401"/>
      <c r="E55" s="402" t="s">
        <v>436</v>
      </c>
      <c r="F55" s="403"/>
      <c r="G55" s="404" t="s">
        <v>437</v>
      </c>
      <c r="H55" s="403"/>
      <c r="I55" s="163"/>
      <c r="J55" s="4"/>
    </row>
    <row r="56" spans="1:64" ht="60" customHeight="1">
      <c r="A56" s="398"/>
      <c r="B56" s="127">
        <v>3</v>
      </c>
      <c r="C56" s="434" t="s">
        <v>438</v>
      </c>
      <c r="D56" s="435"/>
      <c r="E56" s="436" t="s">
        <v>439</v>
      </c>
      <c r="F56" s="437"/>
      <c r="G56" s="438" t="s">
        <v>440</v>
      </c>
      <c r="H56" s="439"/>
      <c r="I56" s="4"/>
    </row>
    <row r="57" spans="1:64" ht="60" customHeight="1">
      <c r="A57" s="398"/>
      <c r="B57" s="127">
        <v>2</v>
      </c>
      <c r="C57" s="434" t="s">
        <v>441</v>
      </c>
      <c r="D57" s="435"/>
      <c r="E57" s="436" t="s">
        <v>442</v>
      </c>
      <c r="F57" s="437"/>
      <c r="G57" s="438" t="s">
        <v>443</v>
      </c>
      <c r="H57" s="439"/>
    </row>
    <row r="58" spans="1:64" ht="60" customHeight="1">
      <c r="A58" s="399"/>
      <c r="B58" s="129">
        <v>1</v>
      </c>
      <c r="C58" s="440" t="s">
        <v>444</v>
      </c>
      <c r="D58" s="441"/>
      <c r="E58" s="442" t="s">
        <v>445</v>
      </c>
      <c r="F58" s="443"/>
      <c r="G58" s="444" t="s">
        <v>446</v>
      </c>
      <c r="H58" s="445"/>
    </row>
    <row r="59" spans="1:64" ht="30.2" customHeight="1">
      <c r="A59" s="433" t="s">
        <v>447</v>
      </c>
      <c r="B59" s="187"/>
      <c r="C59" s="400" t="s">
        <v>448</v>
      </c>
      <c r="D59" s="401"/>
      <c r="E59" s="402" t="s">
        <v>449</v>
      </c>
      <c r="F59" s="403"/>
      <c r="G59" s="404" t="s">
        <v>450</v>
      </c>
      <c r="H59" s="403"/>
    </row>
    <row r="60" spans="1:64" ht="60" customHeight="1">
      <c r="A60" s="398"/>
      <c r="B60" s="127">
        <v>3</v>
      </c>
      <c r="C60" s="434" t="s">
        <v>451</v>
      </c>
      <c r="D60" s="435"/>
      <c r="E60" s="436" t="s">
        <v>452</v>
      </c>
      <c r="F60" s="437"/>
      <c r="G60" s="438" t="s">
        <v>453</v>
      </c>
      <c r="H60" s="439"/>
    </row>
    <row r="61" spans="1:64" ht="60" customHeight="1">
      <c r="A61" s="398"/>
      <c r="B61" s="127">
        <v>2</v>
      </c>
      <c r="C61" s="434" t="s">
        <v>454</v>
      </c>
      <c r="D61" s="435"/>
      <c r="E61" s="436" t="s">
        <v>455</v>
      </c>
      <c r="F61" s="437"/>
      <c r="G61" s="438" t="s">
        <v>456</v>
      </c>
      <c r="H61" s="439"/>
    </row>
    <row r="62" spans="1:64" ht="60" customHeight="1">
      <c r="A62" s="399"/>
      <c r="B62" s="129">
        <v>1</v>
      </c>
      <c r="C62" s="440" t="s">
        <v>457</v>
      </c>
      <c r="D62" s="441"/>
      <c r="E62" s="442" t="s">
        <v>458</v>
      </c>
      <c r="F62" s="443"/>
      <c r="G62" s="444" t="s">
        <v>459</v>
      </c>
      <c r="H62" s="445"/>
    </row>
    <row r="63" spans="1:64" ht="45" customHeight="1">
      <c r="A63" s="188" t="s">
        <v>460</v>
      </c>
      <c r="B63" s="189"/>
      <c r="C63" s="190" t="s">
        <v>461</v>
      </c>
      <c r="D63" s="191" t="s">
        <v>462</v>
      </c>
      <c r="E63" s="121" t="s">
        <v>463</v>
      </c>
      <c r="F63" s="192" t="s">
        <v>464</v>
      </c>
      <c r="G63" s="123" t="s">
        <v>465</v>
      </c>
      <c r="H63" s="193" t="s">
        <v>466</v>
      </c>
    </row>
    <row r="64" spans="1:64" ht="30.2" customHeight="1">
      <c r="A64" s="446" t="s">
        <v>467</v>
      </c>
      <c r="B64" s="187"/>
      <c r="C64" s="400" t="s">
        <v>468</v>
      </c>
      <c r="D64" s="401"/>
      <c r="E64" s="402" t="s">
        <v>469</v>
      </c>
      <c r="F64" s="403"/>
      <c r="G64" s="404" t="s">
        <v>470</v>
      </c>
      <c r="H64" s="403"/>
    </row>
    <row r="65" spans="1:8" ht="45" customHeight="1">
      <c r="A65" s="398"/>
      <c r="B65" s="177">
        <v>4</v>
      </c>
      <c r="C65" s="455" t="s">
        <v>471</v>
      </c>
      <c r="D65" s="456"/>
      <c r="E65" s="194" t="s">
        <v>472</v>
      </c>
      <c r="F65" s="195"/>
      <c r="G65" s="86" t="s">
        <v>473</v>
      </c>
      <c r="H65" s="196"/>
    </row>
    <row r="66" spans="1:8" ht="45" customHeight="1">
      <c r="A66" s="398"/>
      <c r="B66" s="177">
        <v>3</v>
      </c>
      <c r="C66" s="455" t="s">
        <v>474</v>
      </c>
      <c r="D66" s="456"/>
      <c r="E66" s="194" t="s">
        <v>475</v>
      </c>
      <c r="F66" s="195"/>
      <c r="G66" s="86" t="s">
        <v>476</v>
      </c>
      <c r="H66" s="196"/>
    </row>
    <row r="67" spans="1:8" ht="45" customHeight="1">
      <c r="A67" s="399"/>
      <c r="B67" s="131">
        <v>2</v>
      </c>
      <c r="C67" s="457" t="s">
        <v>477</v>
      </c>
      <c r="D67" s="458"/>
      <c r="E67" s="197" t="s">
        <v>478</v>
      </c>
      <c r="F67" s="134"/>
      <c r="G67" s="96" t="s">
        <v>479</v>
      </c>
      <c r="H67" s="198"/>
    </row>
    <row r="68" spans="1:8" ht="30.2" customHeight="1">
      <c r="A68" s="446" t="s">
        <v>480</v>
      </c>
      <c r="B68" s="187"/>
      <c r="C68" s="400" t="s">
        <v>481</v>
      </c>
      <c r="D68" s="401"/>
      <c r="E68" s="402" t="s">
        <v>482</v>
      </c>
      <c r="F68" s="403"/>
      <c r="G68" s="404" t="s">
        <v>483</v>
      </c>
      <c r="H68" s="403"/>
    </row>
    <row r="69" spans="1:8" ht="45" customHeight="1">
      <c r="A69" s="398"/>
      <c r="B69" s="177">
        <v>1</v>
      </c>
      <c r="C69" s="128" t="s">
        <v>484</v>
      </c>
      <c r="D69" s="199"/>
      <c r="E69" s="194" t="s">
        <v>485</v>
      </c>
      <c r="F69" s="200"/>
      <c r="G69" s="86" t="s">
        <v>486</v>
      </c>
      <c r="H69" s="201"/>
    </row>
    <row r="70" spans="1:8" ht="45" customHeight="1">
      <c r="A70" s="398"/>
      <c r="B70" s="177">
        <v>2</v>
      </c>
      <c r="C70" s="128" t="s">
        <v>487</v>
      </c>
      <c r="D70" s="199"/>
      <c r="E70" s="194" t="s">
        <v>488</v>
      </c>
      <c r="F70" s="200"/>
      <c r="G70" s="86" t="s">
        <v>489</v>
      </c>
      <c r="H70" s="201"/>
    </row>
    <row r="71" spans="1:8" ht="45" customHeight="1">
      <c r="A71" s="399"/>
      <c r="B71" s="131">
        <v>3</v>
      </c>
      <c r="C71" s="130" t="s">
        <v>490</v>
      </c>
      <c r="D71" s="202"/>
      <c r="E71" s="197" t="s">
        <v>491</v>
      </c>
      <c r="F71" s="203"/>
      <c r="G71" s="96" t="s">
        <v>492</v>
      </c>
      <c r="H71" s="204"/>
    </row>
    <row r="72" spans="1:8" ht="45" customHeight="1">
      <c r="A72" s="205" t="s">
        <v>493</v>
      </c>
      <c r="B72" s="206"/>
      <c r="C72" s="207" t="s">
        <v>494</v>
      </c>
      <c r="D72" s="208" t="s">
        <v>495</v>
      </c>
      <c r="E72" s="209" t="s">
        <v>496</v>
      </c>
      <c r="F72" s="210" t="s">
        <v>497</v>
      </c>
      <c r="G72" s="211" t="s">
        <v>498</v>
      </c>
      <c r="H72" s="212" t="s">
        <v>499</v>
      </c>
    </row>
    <row r="73" spans="1:8" ht="45" customHeight="1">
      <c r="A73" s="447" t="s">
        <v>500</v>
      </c>
      <c r="B73" s="206"/>
      <c r="C73" s="213" t="s">
        <v>501</v>
      </c>
      <c r="D73" s="214" t="s">
        <v>502</v>
      </c>
      <c r="E73" s="209" t="s">
        <v>503</v>
      </c>
      <c r="F73" s="210" t="s">
        <v>504</v>
      </c>
      <c r="G73" s="211" t="s">
        <v>505</v>
      </c>
      <c r="H73" s="212" t="s">
        <v>506</v>
      </c>
    </row>
    <row r="74" spans="1:8" ht="66.75" customHeight="1">
      <c r="A74" s="448"/>
      <c r="B74" s="215"/>
      <c r="C74" s="449" t="s">
        <v>507</v>
      </c>
      <c r="D74" s="450"/>
      <c r="E74" s="451" t="s">
        <v>508</v>
      </c>
      <c r="F74" s="452"/>
      <c r="G74" s="453" t="s">
        <v>509</v>
      </c>
      <c r="H74" s="454"/>
    </row>
    <row r="75" spans="1:8" ht="60" customHeight="1">
      <c r="A75" s="462" t="s">
        <v>510</v>
      </c>
      <c r="B75" s="206"/>
      <c r="C75" s="463" t="s">
        <v>511</v>
      </c>
      <c r="D75" s="464"/>
      <c r="E75" s="465" t="s">
        <v>512</v>
      </c>
      <c r="F75" s="466"/>
      <c r="G75" s="467" t="s">
        <v>513</v>
      </c>
      <c r="H75" s="466"/>
    </row>
    <row r="76" spans="1:8" ht="15" customHeight="1">
      <c r="A76" s="448"/>
      <c r="B76" s="215"/>
      <c r="C76" s="216" t="s">
        <v>514</v>
      </c>
      <c r="D76" s="217"/>
      <c r="E76" s="218" t="s">
        <v>515</v>
      </c>
      <c r="F76" s="219"/>
      <c r="G76" s="220" t="s">
        <v>516</v>
      </c>
      <c r="H76" s="140"/>
    </row>
    <row r="77" spans="1:8" ht="60" customHeight="1">
      <c r="A77" s="221" t="s">
        <v>517</v>
      </c>
      <c r="B77" s="189"/>
      <c r="C77" s="409" t="s">
        <v>518</v>
      </c>
      <c r="D77" s="410"/>
      <c r="E77" s="411" t="s">
        <v>519</v>
      </c>
      <c r="F77" s="412"/>
      <c r="G77" s="413" t="s">
        <v>520</v>
      </c>
      <c r="H77" s="412"/>
    </row>
    <row r="78" spans="1:8" ht="45" customHeight="1">
      <c r="A78" s="221" t="s">
        <v>521</v>
      </c>
      <c r="B78" s="189"/>
      <c r="C78" s="222" t="s">
        <v>522</v>
      </c>
      <c r="D78" s="223"/>
      <c r="E78" s="209" t="s">
        <v>523</v>
      </c>
      <c r="F78" s="224"/>
      <c r="G78" s="211" t="s">
        <v>524</v>
      </c>
      <c r="H78" s="225"/>
    </row>
    <row r="79" spans="1:8" ht="45" customHeight="1">
      <c r="A79" s="221" t="s">
        <v>525</v>
      </c>
      <c r="B79" s="189"/>
      <c r="C79" s="222" t="s">
        <v>526</v>
      </c>
      <c r="D79" s="223"/>
      <c r="E79" s="209" t="s">
        <v>527</v>
      </c>
      <c r="F79" s="224"/>
      <c r="G79" s="211" t="s">
        <v>528</v>
      </c>
      <c r="H79" s="225"/>
    </row>
    <row r="80" spans="1:8" ht="45" customHeight="1">
      <c r="A80" s="226" t="s">
        <v>529</v>
      </c>
      <c r="B80" s="189"/>
      <c r="C80" s="222" t="s">
        <v>530</v>
      </c>
      <c r="D80" s="223"/>
      <c r="E80" s="209" t="s">
        <v>531</v>
      </c>
      <c r="F80" s="224"/>
      <c r="G80" s="211" t="s">
        <v>532</v>
      </c>
      <c r="H80" s="225"/>
    </row>
    <row r="81" spans="1:8" ht="45" customHeight="1">
      <c r="A81" s="226" t="s">
        <v>533</v>
      </c>
      <c r="B81" s="189"/>
      <c r="C81" s="222" t="s">
        <v>534</v>
      </c>
      <c r="D81" s="223"/>
      <c r="E81" s="209" t="s">
        <v>535</v>
      </c>
      <c r="F81" s="224"/>
      <c r="G81" s="227" t="s">
        <v>536</v>
      </c>
      <c r="H81" s="228"/>
    </row>
    <row r="82" spans="1:8" ht="45" customHeight="1">
      <c r="A82" s="229" t="s">
        <v>537</v>
      </c>
      <c r="B82" s="230"/>
      <c r="C82" s="231"/>
      <c r="D82" s="232"/>
      <c r="E82" s="233"/>
      <c r="F82" s="234"/>
      <c r="G82" s="235"/>
      <c r="H82" s="236"/>
    </row>
    <row r="83" spans="1:8" ht="45" customHeight="1">
      <c r="A83" s="237" t="s">
        <v>538</v>
      </c>
      <c r="B83" s="238"/>
      <c r="C83" s="239"/>
      <c r="D83" s="240"/>
      <c r="E83" s="241"/>
      <c r="F83" s="242"/>
      <c r="G83" s="243"/>
      <c r="H83" s="140"/>
    </row>
    <row r="84" spans="1:8" ht="45" customHeight="1">
      <c r="A84" s="221" t="s">
        <v>539</v>
      </c>
      <c r="B84" s="189"/>
      <c r="C84" s="244" t="s">
        <v>540</v>
      </c>
      <c r="D84" s="245"/>
      <c r="E84" s="209" t="s">
        <v>541</v>
      </c>
      <c r="F84" s="224"/>
      <c r="G84" s="211" t="s">
        <v>542</v>
      </c>
      <c r="H84" s="225"/>
    </row>
    <row r="85" spans="1:8" ht="45" customHeight="1">
      <c r="A85" s="221" t="s">
        <v>543</v>
      </c>
      <c r="B85" s="189"/>
      <c r="C85" s="244" t="s">
        <v>544</v>
      </c>
      <c r="D85" s="245"/>
      <c r="E85" s="209" t="s">
        <v>545</v>
      </c>
      <c r="F85" s="224"/>
      <c r="G85" s="211" t="s">
        <v>546</v>
      </c>
      <c r="H85" s="225"/>
    </row>
    <row r="86" spans="1:8" ht="45" customHeight="1">
      <c r="A86" s="221" t="s">
        <v>547</v>
      </c>
      <c r="B86" s="189"/>
      <c r="C86" s="222" t="s">
        <v>548</v>
      </c>
      <c r="D86" s="223"/>
      <c r="E86" s="246" t="s">
        <v>549</v>
      </c>
      <c r="F86" s="247"/>
      <c r="G86" s="227" t="s">
        <v>550</v>
      </c>
      <c r="H86" s="228"/>
    </row>
    <row r="87" spans="1:8" ht="45" customHeight="1">
      <c r="A87" s="248" t="s">
        <v>537</v>
      </c>
      <c r="B87" s="249"/>
      <c r="C87" s="250"/>
      <c r="D87" s="251"/>
      <c r="E87" s="252"/>
      <c r="F87" s="253"/>
      <c r="G87" s="254"/>
      <c r="H87" s="255"/>
    </row>
    <row r="88" spans="1:8" ht="45" customHeight="1">
      <c r="A88" s="256" t="s">
        <v>551</v>
      </c>
      <c r="B88" s="249"/>
      <c r="C88" s="250"/>
      <c r="D88" s="251"/>
      <c r="E88" s="252"/>
      <c r="F88" s="253"/>
      <c r="G88" s="254"/>
      <c r="H88" s="255"/>
    </row>
    <row r="89" spans="1:8" ht="45" customHeight="1">
      <c r="A89" s="257" t="s">
        <v>552</v>
      </c>
      <c r="B89" s="189"/>
      <c r="C89" s="409" t="s">
        <v>553</v>
      </c>
      <c r="D89" s="460"/>
      <c r="E89" s="411" t="s">
        <v>554</v>
      </c>
      <c r="F89" s="461"/>
      <c r="G89" s="413" t="s">
        <v>555</v>
      </c>
      <c r="H89" s="461"/>
    </row>
    <row r="90" spans="1:8" ht="45" customHeight="1">
      <c r="A90" s="258" t="s">
        <v>556</v>
      </c>
      <c r="B90" s="189"/>
      <c r="C90" s="409" t="s">
        <v>553</v>
      </c>
      <c r="D90" s="460"/>
      <c r="E90" s="411" t="s">
        <v>554</v>
      </c>
      <c r="F90" s="461"/>
      <c r="G90" s="413" t="s">
        <v>555</v>
      </c>
      <c r="H90" s="461"/>
    </row>
    <row r="91" spans="1:8" ht="45" customHeight="1">
      <c r="A91" s="257" t="s">
        <v>557</v>
      </c>
      <c r="B91" s="189"/>
      <c r="C91" s="244" t="s">
        <v>558</v>
      </c>
      <c r="D91" s="245"/>
      <c r="E91" s="209" t="s">
        <v>559</v>
      </c>
      <c r="F91" s="224"/>
      <c r="G91" s="211" t="s">
        <v>560</v>
      </c>
      <c r="H91" s="225"/>
    </row>
    <row r="92" spans="1:8" ht="45" customHeight="1">
      <c r="A92" s="258" t="s">
        <v>561</v>
      </c>
      <c r="B92" s="189"/>
      <c r="C92" s="244" t="s">
        <v>558</v>
      </c>
      <c r="D92" s="245"/>
      <c r="E92" s="209" t="s">
        <v>559</v>
      </c>
      <c r="F92" s="224"/>
      <c r="G92" s="211" t="s">
        <v>560</v>
      </c>
      <c r="H92" s="225"/>
    </row>
    <row r="93" spans="1:8" ht="45" customHeight="1">
      <c r="A93" s="257" t="s">
        <v>562</v>
      </c>
      <c r="B93" s="189"/>
      <c r="C93" s="213" t="s">
        <v>563</v>
      </c>
      <c r="D93" s="259"/>
      <c r="E93" s="260" t="s">
        <v>564</v>
      </c>
      <c r="F93" s="224"/>
      <c r="G93" s="211" t="s">
        <v>565</v>
      </c>
      <c r="H93" s="225"/>
    </row>
    <row r="94" spans="1:8" ht="45" customHeight="1">
      <c r="A94" s="261" t="s">
        <v>566</v>
      </c>
      <c r="B94" s="189"/>
      <c r="C94" s="213" t="s">
        <v>563</v>
      </c>
      <c r="D94" s="259"/>
      <c r="E94" s="260" t="s">
        <v>564</v>
      </c>
      <c r="F94" s="224"/>
      <c r="G94" s="211" t="s">
        <v>565</v>
      </c>
      <c r="H94" s="225"/>
    </row>
    <row r="95" spans="1:8" ht="60" customHeight="1">
      <c r="A95" s="262" t="s">
        <v>567</v>
      </c>
      <c r="B95" s="189"/>
      <c r="C95" s="244" t="s">
        <v>568</v>
      </c>
      <c r="D95" s="245"/>
      <c r="E95" s="209" t="s">
        <v>569</v>
      </c>
      <c r="F95" s="224"/>
      <c r="G95" s="211" t="s">
        <v>570</v>
      </c>
      <c r="H95" s="225"/>
    </row>
    <row r="96" spans="1:8" ht="45" customHeight="1">
      <c r="A96" s="261" t="s">
        <v>571</v>
      </c>
      <c r="B96" s="189"/>
      <c r="C96" s="244" t="s">
        <v>572</v>
      </c>
      <c r="D96" s="245"/>
      <c r="E96" s="209"/>
      <c r="F96" s="224"/>
      <c r="G96" s="211"/>
      <c r="H96" s="225"/>
    </row>
    <row r="97" spans="1:8" ht="45" customHeight="1">
      <c r="A97" s="257" t="s">
        <v>573</v>
      </c>
      <c r="B97" s="189"/>
      <c r="C97" s="244" t="s">
        <v>574</v>
      </c>
      <c r="D97" s="245"/>
      <c r="E97" s="209" t="s">
        <v>575</v>
      </c>
      <c r="F97" s="224"/>
      <c r="G97" s="211" t="s">
        <v>576</v>
      </c>
      <c r="H97" s="225"/>
    </row>
    <row r="98" spans="1:8" ht="45" customHeight="1">
      <c r="A98" s="257" t="s">
        <v>577</v>
      </c>
      <c r="B98" s="189"/>
      <c r="C98" s="244" t="s">
        <v>578</v>
      </c>
      <c r="D98" s="245"/>
      <c r="E98" s="209" t="s">
        <v>579</v>
      </c>
      <c r="F98" s="224"/>
      <c r="G98" s="211" t="s">
        <v>580</v>
      </c>
      <c r="H98" s="225"/>
    </row>
    <row r="99" spans="1:8" ht="60" customHeight="1">
      <c r="A99" s="257" t="s">
        <v>581</v>
      </c>
      <c r="B99" s="189"/>
      <c r="C99" s="244" t="s">
        <v>582</v>
      </c>
      <c r="D99" s="245"/>
      <c r="E99" s="209" t="s">
        <v>583</v>
      </c>
      <c r="F99" s="224"/>
      <c r="G99" s="211" t="s">
        <v>584</v>
      </c>
      <c r="H99" s="225"/>
    </row>
    <row r="100" spans="1:8" ht="45" customHeight="1">
      <c r="A100" s="257" t="s">
        <v>521</v>
      </c>
      <c r="B100" s="189"/>
      <c r="C100" s="244" t="s">
        <v>522</v>
      </c>
      <c r="D100" s="245"/>
      <c r="E100" s="209" t="s">
        <v>523</v>
      </c>
      <c r="F100" s="224"/>
      <c r="G100" s="211" t="s">
        <v>524</v>
      </c>
      <c r="H100" s="225"/>
    </row>
    <row r="101" spans="1:8" ht="45" customHeight="1">
      <c r="A101" s="257" t="s">
        <v>525</v>
      </c>
      <c r="B101" s="189"/>
      <c r="C101" s="244" t="s">
        <v>526</v>
      </c>
      <c r="D101" s="245"/>
      <c r="E101" s="209" t="s">
        <v>527</v>
      </c>
      <c r="F101" s="224"/>
      <c r="G101" s="211" t="s">
        <v>528</v>
      </c>
      <c r="H101" s="225"/>
    </row>
    <row r="102" spans="1:8" ht="45" customHeight="1">
      <c r="A102" s="262" t="s">
        <v>585</v>
      </c>
      <c r="B102" s="189"/>
      <c r="C102" s="244" t="s">
        <v>530</v>
      </c>
      <c r="D102" s="245"/>
      <c r="E102" s="209" t="s">
        <v>531</v>
      </c>
      <c r="F102" s="224"/>
      <c r="G102" s="211" t="s">
        <v>532</v>
      </c>
      <c r="H102" s="225"/>
    </row>
    <row r="103" spans="1:8" ht="45" customHeight="1">
      <c r="A103" s="262" t="s">
        <v>586</v>
      </c>
      <c r="B103" s="189"/>
      <c r="C103" s="222" t="s">
        <v>534</v>
      </c>
      <c r="D103" s="223"/>
      <c r="E103" s="246" t="s">
        <v>535</v>
      </c>
      <c r="F103" s="247"/>
      <c r="G103" s="227" t="s">
        <v>536</v>
      </c>
      <c r="H103" s="228"/>
    </row>
    <row r="104" spans="1:8" ht="45" customHeight="1">
      <c r="A104" s="263" t="s">
        <v>537</v>
      </c>
      <c r="B104" s="249"/>
      <c r="C104" s="250"/>
      <c r="D104" s="251"/>
      <c r="E104" s="252"/>
      <c r="F104" s="253"/>
      <c r="G104" s="254"/>
      <c r="H104" s="255"/>
    </row>
    <row r="105" spans="1:8" ht="45" customHeight="1">
      <c r="A105" s="74" t="s">
        <v>587</v>
      </c>
      <c r="B105" s="249"/>
      <c r="C105" s="250"/>
      <c r="D105" s="251"/>
      <c r="E105" s="253" t="s">
        <v>588</v>
      </c>
      <c r="F105" s="253"/>
      <c r="G105" s="255" t="s">
        <v>589</v>
      </c>
      <c r="H105" s="255"/>
    </row>
    <row r="106" spans="1:8" ht="45" customHeight="1">
      <c r="A106" s="264" t="s">
        <v>590</v>
      </c>
      <c r="B106" s="189"/>
      <c r="C106" s="244" t="s">
        <v>591</v>
      </c>
      <c r="D106" s="245"/>
      <c r="E106" s="209" t="s">
        <v>592</v>
      </c>
      <c r="F106" s="224"/>
      <c r="G106" s="211" t="s">
        <v>593</v>
      </c>
      <c r="H106" s="225"/>
    </row>
    <row r="107" spans="1:8" ht="60" customHeight="1">
      <c r="A107" s="264" t="s">
        <v>594</v>
      </c>
      <c r="B107" s="189"/>
      <c r="C107" s="244" t="s">
        <v>595</v>
      </c>
      <c r="D107" s="245"/>
      <c r="E107" s="209" t="s">
        <v>596</v>
      </c>
      <c r="F107" s="224"/>
      <c r="G107" s="211" t="s">
        <v>597</v>
      </c>
      <c r="H107" s="225"/>
    </row>
    <row r="108" spans="1:8" ht="45" customHeight="1">
      <c r="A108" s="264" t="s">
        <v>598</v>
      </c>
      <c r="B108" s="189"/>
      <c r="C108" s="244" t="s">
        <v>599</v>
      </c>
      <c r="D108" s="245"/>
      <c r="E108" s="209" t="s">
        <v>600</v>
      </c>
      <c r="F108" s="224"/>
      <c r="G108" s="211" t="s">
        <v>601</v>
      </c>
      <c r="H108" s="225"/>
    </row>
    <row r="109" spans="1:8" ht="45" customHeight="1">
      <c r="A109" s="264" t="s">
        <v>602</v>
      </c>
      <c r="B109" s="189"/>
      <c r="C109" s="244" t="s">
        <v>603</v>
      </c>
      <c r="D109" s="245"/>
      <c r="E109" s="209" t="s">
        <v>604</v>
      </c>
      <c r="F109" s="224"/>
      <c r="G109" s="211" t="s">
        <v>605</v>
      </c>
      <c r="H109" s="225"/>
    </row>
    <row r="110" spans="1:8" ht="60" customHeight="1">
      <c r="A110" s="264" t="s">
        <v>606</v>
      </c>
      <c r="B110" s="189"/>
      <c r="C110" s="222" t="s">
        <v>607</v>
      </c>
      <c r="D110" s="223"/>
      <c r="E110" s="246" t="s">
        <v>608</v>
      </c>
      <c r="F110" s="247"/>
      <c r="G110" s="227" t="s">
        <v>609</v>
      </c>
      <c r="H110" s="228"/>
    </row>
    <row r="111" spans="1:8" ht="45" customHeight="1">
      <c r="A111" s="263" t="s">
        <v>537</v>
      </c>
      <c r="B111" s="265"/>
      <c r="C111" s="250"/>
      <c r="D111" s="266"/>
      <c r="E111" s="252"/>
      <c r="F111" s="253"/>
      <c r="G111" s="254"/>
      <c r="H111" s="255"/>
    </row>
    <row r="112" spans="1:8" ht="45" customHeight="1">
      <c r="A112" s="267" t="s">
        <v>610</v>
      </c>
      <c r="B112" s="265"/>
      <c r="C112" s="250"/>
      <c r="D112" s="266"/>
      <c r="E112" s="268" t="s">
        <v>611</v>
      </c>
      <c r="F112" s="269"/>
      <c r="G112" s="270" t="s">
        <v>612</v>
      </c>
      <c r="H112" s="271"/>
    </row>
    <row r="113" spans="1:63" ht="45" customHeight="1">
      <c r="A113" s="264" t="s">
        <v>613</v>
      </c>
      <c r="B113" s="272"/>
      <c r="C113" s="231"/>
      <c r="D113" s="273"/>
      <c r="E113" s="209" t="s">
        <v>592</v>
      </c>
      <c r="F113" s="224"/>
      <c r="G113" s="211" t="s">
        <v>593</v>
      </c>
      <c r="H113" s="225"/>
    </row>
    <row r="114" spans="1:63" ht="45" customHeight="1">
      <c r="A114" s="264" t="s">
        <v>614</v>
      </c>
      <c r="B114" s="272"/>
      <c r="C114" s="231"/>
      <c r="D114" s="273"/>
      <c r="E114" s="209" t="s">
        <v>596</v>
      </c>
      <c r="F114" s="224"/>
      <c r="G114" s="211" t="s">
        <v>597</v>
      </c>
      <c r="H114" s="225"/>
    </row>
    <row r="115" spans="1:63" ht="45" customHeight="1">
      <c r="A115" s="264" t="s">
        <v>615</v>
      </c>
      <c r="B115" s="272"/>
      <c r="C115" s="231"/>
      <c r="D115" s="273"/>
      <c r="E115" s="209" t="s">
        <v>600</v>
      </c>
      <c r="F115" s="224"/>
      <c r="G115" s="211" t="s">
        <v>601</v>
      </c>
      <c r="H115" s="225"/>
    </row>
    <row r="116" spans="1:63" ht="45" customHeight="1">
      <c r="A116" s="264" t="s">
        <v>616</v>
      </c>
      <c r="B116" s="272"/>
      <c r="C116" s="231"/>
      <c r="D116" s="273"/>
      <c r="E116" s="209" t="s">
        <v>604</v>
      </c>
      <c r="F116" s="224"/>
      <c r="G116" s="211" t="s">
        <v>605</v>
      </c>
      <c r="H116" s="225"/>
    </row>
    <row r="117" spans="1:63" ht="45" customHeight="1">
      <c r="A117" s="264" t="s">
        <v>617</v>
      </c>
      <c r="B117" s="272"/>
      <c r="C117" s="274"/>
      <c r="D117" s="275"/>
      <c r="E117" s="246" t="s">
        <v>608</v>
      </c>
      <c r="F117" s="247"/>
      <c r="G117" s="227" t="s">
        <v>618</v>
      </c>
      <c r="H117" s="228"/>
    </row>
    <row r="118" spans="1:63" ht="45" customHeight="1">
      <c r="A118" s="263" t="s">
        <v>537</v>
      </c>
      <c r="B118" s="249"/>
      <c r="C118" s="250"/>
      <c r="D118" s="251"/>
      <c r="E118" s="252"/>
      <c r="F118" s="253"/>
      <c r="G118" s="254"/>
      <c r="H118" s="255"/>
    </row>
    <row r="119" spans="1:63" ht="45" customHeight="1">
      <c r="A119" s="74" t="s">
        <v>619</v>
      </c>
      <c r="B119" s="249"/>
      <c r="C119" s="250"/>
      <c r="D119" s="251"/>
      <c r="E119" s="252"/>
      <c r="F119" s="253"/>
      <c r="G119" s="254"/>
      <c r="H119" s="255"/>
    </row>
    <row r="120" spans="1:63" ht="45" customHeight="1">
      <c r="A120" s="257" t="s">
        <v>620</v>
      </c>
      <c r="B120" s="189"/>
      <c r="C120" s="244" t="s">
        <v>621</v>
      </c>
      <c r="D120" s="245"/>
      <c r="E120" s="209" t="s">
        <v>622</v>
      </c>
      <c r="F120" s="224"/>
      <c r="G120" s="211" t="s">
        <v>623</v>
      </c>
      <c r="H120" s="225"/>
      <c r="I120" s="276"/>
    </row>
    <row r="121" spans="1:63" ht="45" customHeight="1">
      <c r="A121" s="257" t="s">
        <v>624</v>
      </c>
      <c r="B121" s="189"/>
      <c r="C121" s="244"/>
      <c r="D121" s="245"/>
      <c r="E121" s="209"/>
      <c r="F121" s="224"/>
      <c r="G121" s="211"/>
      <c r="H121" s="225"/>
      <c r="I121" s="276"/>
    </row>
    <row r="122" spans="1:63" ht="45" customHeight="1">
      <c r="A122" s="257" t="s">
        <v>625</v>
      </c>
      <c r="B122" s="189"/>
      <c r="C122" s="244"/>
      <c r="D122" s="245"/>
      <c r="E122" s="209"/>
      <c r="F122" s="224"/>
      <c r="G122" s="211"/>
      <c r="H122" s="225"/>
      <c r="I122" s="276"/>
    </row>
    <row r="123" spans="1:63" ht="45" customHeight="1">
      <c r="A123" s="257" t="s">
        <v>626</v>
      </c>
      <c r="B123" s="189"/>
      <c r="C123" s="244" t="s">
        <v>627</v>
      </c>
      <c r="D123" s="245"/>
      <c r="E123" s="209" t="s">
        <v>628</v>
      </c>
      <c r="F123" s="224"/>
      <c r="G123" s="211" t="s">
        <v>629</v>
      </c>
      <c r="H123" s="225"/>
      <c r="I123" s="276"/>
    </row>
    <row r="124" spans="1:63" ht="30.2" customHeight="1">
      <c r="A124" s="459" t="s">
        <v>630</v>
      </c>
      <c r="B124" s="187"/>
      <c r="C124" s="156" t="s">
        <v>631</v>
      </c>
      <c r="D124" s="157"/>
      <c r="E124" s="174" t="s">
        <v>632</v>
      </c>
      <c r="F124" s="144"/>
      <c r="G124" s="175" t="s">
        <v>633</v>
      </c>
      <c r="H124" s="176"/>
      <c r="I124" s="4"/>
      <c r="J124" s="4"/>
      <c r="K124" s="4"/>
      <c r="L124" s="4"/>
      <c r="M124" s="4"/>
      <c r="N124" s="4"/>
      <c r="O124" s="4"/>
      <c r="P124" s="98"/>
      <c r="Q124" s="1"/>
      <c r="R124" s="1"/>
      <c r="S124" s="1"/>
      <c r="AP124" s="1"/>
      <c r="AQ124" s="1"/>
      <c r="AR124" s="1"/>
      <c r="AS124" s="1"/>
      <c r="AT124" s="1"/>
      <c r="AU124" s="1"/>
      <c r="AV124" s="1"/>
      <c r="AW124" s="1"/>
      <c r="AX124" s="1"/>
      <c r="AY124" s="1"/>
      <c r="AZ124" s="1"/>
      <c r="BA124" s="1"/>
      <c r="BB124" s="1"/>
      <c r="BC124" s="1"/>
      <c r="BD124" s="1"/>
      <c r="BE124" s="1"/>
      <c r="BF124" s="1"/>
      <c r="BG124" s="1"/>
      <c r="BH124" s="1"/>
      <c r="BI124" s="1"/>
      <c r="BJ124" s="1"/>
      <c r="BK124" s="1"/>
    </row>
    <row r="125" spans="1:63" ht="21.2" customHeight="1">
      <c r="A125" s="398"/>
      <c r="B125" s="127" t="s">
        <v>202</v>
      </c>
      <c r="C125" s="104" t="s">
        <v>634</v>
      </c>
      <c r="D125" s="83"/>
      <c r="E125" s="194" t="s">
        <v>635</v>
      </c>
      <c r="F125" s="85"/>
      <c r="G125" s="86" t="s">
        <v>636</v>
      </c>
      <c r="H125" s="87"/>
      <c r="I125" s="4"/>
      <c r="J125" s="4"/>
      <c r="K125" s="4"/>
      <c r="L125" s="4"/>
      <c r="M125" s="4"/>
      <c r="N125" s="4"/>
      <c r="O125" s="4"/>
      <c r="P125" s="1"/>
      <c r="Q125" s="1"/>
      <c r="R125" s="1"/>
      <c r="S125" s="1"/>
      <c r="AP125" s="1"/>
      <c r="AQ125" s="1"/>
      <c r="AR125" s="1"/>
      <c r="AS125" s="1"/>
      <c r="AT125" s="1"/>
      <c r="AU125" s="1"/>
      <c r="AV125" s="1"/>
      <c r="AW125" s="1"/>
      <c r="AX125" s="1"/>
      <c r="AY125" s="1"/>
      <c r="AZ125" s="1"/>
      <c r="BA125" s="1"/>
      <c r="BB125" s="1"/>
      <c r="BC125" s="1"/>
      <c r="BD125" s="1"/>
      <c r="BE125" s="1"/>
      <c r="BF125" s="1"/>
      <c r="BG125" s="1"/>
      <c r="BH125" s="1"/>
      <c r="BI125" s="1"/>
      <c r="BJ125" s="1"/>
      <c r="BK125" s="1"/>
    </row>
    <row r="126" spans="1:63" ht="21.2" customHeight="1">
      <c r="A126" s="398"/>
      <c r="B126" s="127" t="s">
        <v>313</v>
      </c>
      <c r="C126" s="104" t="s">
        <v>637</v>
      </c>
      <c r="D126" s="83"/>
      <c r="E126" s="194" t="s">
        <v>638</v>
      </c>
      <c r="F126" s="85"/>
      <c r="G126" s="86" t="s">
        <v>639</v>
      </c>
      <c r="H126" s="87"/>
      <c r="I126" s="4"/>
      <c r="J126" s="4"/>
      <c r="K126" s="4"/>
      <c r="L126" s="4"/>
      <c r="M126" s="4"/>
      <c r="N126" s="4"/>
      <c r="O126" s="4"/>
      <c r="P126" s="1"/>
      <c r="Q126" s="1"/>
      <c r="R126" s="1"/>
      <c r="S126" s="1"/>
      <c r="AP126" s="1"/>
      <c r="AQ126" s="1"/>
      <c r="AR126" s="1"/>
      <c r="AS126" s="1"/>
      <c r="AT126" s="1"/>
      <c r="AU126" s="1"/>
      <c r="AV126" s="1"/>
      <c r="AW126" s="1"/>
      <c r="AX126" s="1"/>
      <c r="AY126" s="1"/>
      <c r="AZ126" s="1"/>
      <c r="BA126" s="1"/>
      <c r="BB126" s="1"/>
      <c r="BC126" s="1"/>
      <c r="BD126" s="1"/>
      <c r="BE126" s="1"/>
      <c r="BF126" s="1"/>
      <c r="BG126" s="1"/>
      <c r="BH126" s="1"/>
      <c r="BI126" s="1"/>
      <c r="BJ126" s="1"/>
      <c r="BK126" s="1"/>
    </row>
    <row r="127" spans="1:63" s="106" customFormat="1" ht="21.2" customHeight="1">
      <c r="A127" s="398"/>
      <c r="B127" s="127" t="s">
        <v>317</v>
      </c>
      <c r="C127" s="104" t="s">
        <v>640</v>
      </c>
      <c r="D127" s="83"/>
      <c r="E127" s="194" t="s">
        <v>641</v>
      </c>
      <c r="F127" s="85"/>
      <c r="G127" s="86" t="s">
        <v>642</v>
      </c>
      <c r="H127" s="87"/>
      <c r="I127" s="4"/>
      <c r="J127" s="4"/>
      <c r="K127" s="4"/>
      <c r="L127" s="4"/>
      <c r="M127" s="4"/>
      <c r="N127" s="4"/>
      <c r="O127" s="4"/>
      <c r="P127" s="105"/>
      <c r="Q127" s="105"/>
      <c r="R127" s="105"/>
      <c r="S127" s="105"/>
      <c r="AG127"/>
      <c r="AH127"/>
      <c r="AI127"/>
      <c r="AJ127"/>
      <c r="AK127"/>
      <c r="AL127"/>
      <c r="AM127"/>
      <c r="AP127" s="105"/>
      <c r="AQ127" s="105"/>
      <c r="AR127" s="105"/>
      <c r="AS127" s="105"/>
      <c r="AT127" s="105"/>
      <c r="AU127" s="105"/>
      <c r="AV127" s="105"/>
      <c r="AW127" s="105"/>
      <c r="AX127" s="105"/>
      <c r="AY127" s="105"/>
      <c r="AZ127" s="105"/>
      <c r="BA127" s="105"/>
      <c r="BB127" s="105"/>
      <c r="BC127" s="105"/>
      <c r="BD127" s="105"/>
      <c r="BE127" s="105"/>
      <c r="BF127" s="105"/>
      <c r="BG127" s="105"/>
      <c r="BH127" s="105"/>
      <c r="BI127" s="105"/>
      <c r="BJ127" s="105"/>
      <c r="BK127" s="105"/>
    </row>
    <row r="128" spans="1:63" ht="21.2" customHeight="1">
      <c r="A128" s="399"/>
      <c r="B128" s="129" t="s">
        <v>321</v>
      </c>
      <c r="C128" s="107" t="s">
        <v>643</v>
      </c>
      <c r="D128" s="93"/>
      <c r="E128" s="197" t="s">
        <v>644</v>
      </c>
      <c r="F128" s="95"/>
      <c r="G128" s="96" t="s">
        <v>324</v>
      </c>
      <c r="H128" s="97"/>
      <c r="I128" s="4"/>
      <c r="J128" s="4"/>
      <c r="K128" s="4"/>
      <c r="L128" s="4"/>
      <c r="M128" s="4"/>
      <c r="N128" s="4"/>
      <c r="O128" s="4"/>
      <c r="P128" s="1"/>
      <c r="Q128" s="1"/>
      <c r="R128" s="1"/>
      <c r="S128" s="1"/>
      <c r="AP128" s="1"/>
      <c r="AQ128" s="1"/>
      <c r="AR128" s="1"/>
      <c r="AS128" s="1"/>
      <c r="AT128" s="1"/>
      <c r="AU128" s="1"/>
      <c r="AV128" s="1"/>
      <c r="AW128" s="1"/>
      <c r="AX128" s="1"/>
      <c r="AY128" s="1"/>
      <c r="AZ128" s="1"/>
      <c r="BA128" s="1"/>
      <c r="BB128" s="1"/>
      <c r="BC128" s="1"/>
      <c r="BD128" s="1"/>
      <c r="BE128" s="1"/>
      <c r="BF128" s="1"/>
      <c r="BG128" s="1"/>
      <c r="BH128" s="1"/>
      <c r="BI128" s="1"/>
      <c r="BJ128" s="1"/>
      <c r="BK128" s="1"/>
    </row>
    <row r="129" spans="1:31" ht="45" customHeight="1">
      <c r="A129" s="257" t="s">
        <v>645</v>
      </c>
      <c r="B129" s="189"/>
      <c r="C129" s="244" t="s">
        <v>646</v>
      </c>
      <c r="D129" s="245"/>
      <c r="E129" s="209" t="s">
        <v>647</v>
      </c>
      <c r="F129" s="224"/>
      <c r="G129" s="211" t="s">
        <v>648</v>
      </c>
      <c r="H129" s="225"/>
      <c r="I129" s="276"/>
    </row>
    <row r="130" spans="1:31" ht="45" customHeight="1">
      <c r="A130" s="257" t="s">
        <v>649</v>
      </c>
      <c r="B130" s="189"/>
      <c r="C130" s="244" t="s">
        <v>650</v>
      </c>
      <c r="D130" s="245"/>
      <c r="E130" s="209" t="s">
        <v>651</v>
      </c>
      <c r="F130" s="224"/>
      <c r="G130" s="211" t="s">
        <v>652</v>
      </c>
      <c r="H130" s="225"/>
      <c r="I130" s="276"/>
    </row>
    <row r="131" spans="1:31" ht="45" customHeight="1">
      <c r="A131" s="257" t="s">
        <v>653</v>
      </c>
      <c r="B131" s="189"/>
      <c r="C131" s="222" t="s">
        <v>654</v>
      </c>
      <c r="D131" s="223"/>
      <c r="E131" s="246" t="s">
        <v>655</v>
      </c>
      <c r="F131" s="247"/>
      <c r="G131" s="227" t="s">
        <v>656</v>
      </c>
      <c r="H131" s="228"/>
      <c r="I131" s="276"/>
    </row>
    <row r="132" spans="1:31" ht="45" customHeight="1">
      <c r="A132" s="263" t="s">
        <v>537</v>
      </c>
      <c r="B132" s="249"/>
      <c r="C132" s="250"/>
      <c r="D132" s="251"/>
      <c r="E132" s="252"/>
      <c r="F132" s="253"/>
      <c r="G132" s="254"/>
      <c r="H132" s="255"/>
    </row>
    <row r="133" spans="1:31" ht="45" customHeight="1">
      <c r="A133" s="74" t="s">
        <v>657</v>
      </c>
      <c r="B133" s="249"/>
      <c r="C133" s="250"/>
      <c r="D133" s="251"/>
      <c r="E133" s="252"/>
      <c r="F133" s="253"/>
      <c r="G133" s="254"/>
      <c r="H133" s="255"/>
    </row>
    <row r="134" spans="1:31" ht="45" customHeight="1">
      <c r="A134" s="257" t="s">
        <v>658</v>
      </c>
      <c r="B134" s="277"/>
      <c r="C134" s="222" t="s">
        <v>659</v>
      </c>
      <c r="D134" s="223"/>
      <c r="E134" s="246" t="s">
        <v>660</v>
      </c>
      <c r="F134" s="247"/>
      <c r="G134" s="227" t="s">
        <v>661</v>
      </c>
      <c r="H134" s="228"/>
      <c r="J134" s="4"/>
      <c r="K134" s="4"/>
      <c r="L134" s="4"/>
      <c r="M134" s="4"/>
      <c r="N134" s="4"/>
      <c r="O134" s="4"/>
      <c r="P134" s="4"/>
      <c r="Q134" s="154"/>
      <c r="R134" s="4"/>
      <c r="S134" s="4"/>
      <c r="T134" s="4"/>
      <c r="U134" s="154"/>
      <c r="V134" s="4"/>
      <c r="W134" s="4"/>
      <c r="X134" s="4"/>
    </row>
    <row r="135" spans="1:31" ht="45" customHeight="1">
      <c r="A135" s="257" t="s">
        <v>552</v>
      </c>
      <c r="B135" s="277"/>
      <c r="C135" s="222" t="s">
        <v>662</v>
      </c>
      <c r="D135" s="223"/>
      <c r="E135" s="246" t="s">
        <v>663</v>
      </c>
      <c r="F135" s="247"/>
      <c r="G135" s="227" t="s">
        <v>664</v>
      </c>
      <c r="H135" s="228"/>
      <c r="J135" s="4"/>
      <c r="K135" s="4"/>
      <c r="L135" s="4"/>
      <c r="M135" s="4"/>
      <c r="N135" s="4"/>
      <c r="O135" s="4"/>
      <c r="P135" s="4"/>
      <c r="Q135" s="4"/>
      <c r="R135" s="4"/>
      <c r="S135" s="4"/>
      <c r="T135" s="4"/>
    </row>
    <row r="136" spans="1:31" ht="45" customHeight="1">
      <c r="A136" s="257" t="s">
        <v>665</v>
      </c>
      <c r="B136" s="277"/>
      <c r="C136" s="222" t="s">
        <v>666</v>
      </c>
      <c r="D136" s="223"/>
      <c r="E136" s="246" t="s">
        <v>667</v>
      </c>
      <c r="F136" s="247"/>
      <c r="G136" s="227" t="s">
        <v>668</v>
      </c>
      <c r="H136" s="228"/>
      <c r="J136" s="4"/>
      <c r="K136" s="4"/>
      <c r="L136" s="4"/>
      <c r="M136" s="4"/>
      <c r="N136" s="4"/>
      <c r="O136" s="4"/>
      <c r="P136" s="4"/>
      <c r="Q136" s="4"/>
      <c r="R136" s="4"/>
      <c r="S136" s="4"/>
      <c r="T136" s="4"/>
    </row>
    <row r="137" spans="1:31" ht="45" customHeight="1">
      <c r="A137" s="257" t="s">
        <v>669</v>
      </c>
      <c r="B137" s="277"/>
      <c r="C137" s="222" t="s">
        <v>670</v>
      </c>
      <c r="D137" s="223"/>
      <c r="E137" s="246" t="s">
        <v>671</v>
      </c>
      <c r="F137" s="247"/>
      <c r="G137" s="227" t="s">
        <v>672</v>
      </c>
      <c r="H137" s="228"/>
      <c r="J137" s="4"/>
      <c r="K137" s="4"/>
      <c r="L137" s="4"/>
      <c r="M137" s="4"/>
      <c r="N137" s="4"/>
      <c r="O137" s="4"/>
      <c r="P137" s="4"/>
      <c r="Q137" s="4"/>
      <c r="R137" s="4"/>
      <c r="S137" s="4"/>
      <c r="T137" s="4"/>
    </row>
    <row r="138" spans="1:31" ht="45" customHeight="1">
      <c r="A138" s="257" t="s">
        <v>673</v>
      </c>
      <c r="B138" s="277"/>
      <c r="C138" s="222" t="s">
        <v>674</v>
      </c>
      <c r="D138" s="223"/>
      <c r="E138" s="246" t="s">
        <v>675</v>
      </c>
      <c r="F138" s="247"/>
      <c r="G138" s="227" t="s">
        <v>676</v>
      </c>
      <c r="H138" s="228"/>
      <c r="J138" s="4"/>
      <c r="K138" s="4"/>
      <c r="L138" s="4"/>
      <c r="M138" s="4"/>
      <c r="N138" s="4"/>
      <c r="O138" s="4"/>
      <c r="P138" s="4"/>
      <c r="Q138" s="4"/>
      <c r="R138" s="4"/>
      <c r="S138" s="4"/>
      <c r="T138" s="4"/>
    </row>
    <row r="139" spans="1:31" ht="45" customHeight="1">
      <c r="A139" s="257" t="s">
        <v>677</v>
      </c>
      <c r="B139" s="277"/>
      <c r="C139" s="222" t="s">
        <v>678</v>
      </c>
      <c r="D139" s="223"/>
      <c r="E139" s="246" t="s">
        <v>679</v>
      </c>
      <c r="F139" s="247"/>
      <c r="G139" s="227" t="s">
        <v>680</v>
      </c>
      <c r="H139" s="228"/>
      <c r="J139" s="4"/>
      <c r="K139" s="4"/>
      <c r="L139" s="4"/>
      <c r="M139" s="4"/>
      <c r="N139" s="4"/>
      <c r="O139" s="4"/>
      <c r="P139" s="4"/>
      <c r="Q139" s="4"/>
      <c r="R139" s="4"/>
      <c r="S139" s="4"/>
      <c r="T139" s="4"/>
    </row>
    <row r="140" spans="1:31" ht="45" customHeight="1">
      <c r="A140" s="257" t="s">
        <v>681</v>
      </c>
      <c r="B140" s="277"/>
      <c r="C140" s="222" t="s">
        <v>682</v>
      </c>
      <c r="D140" s="223"/>
      <c r="E140" s="246" t="s">
        <v>683</v>
      </c>
      <c r="F140" s="247"/>
      <c r="G140" s="227" t="s">
        <v>684</v>
      </c>
      <c r="H140" s="228"/>
      <c r="J140" s="4"/>
      <c r="K140" s="4"/>
      <c r="L140" s="4"/>
      <c r="M140" s="4"/>
      <c r="N140" s="4"/>
      <c r="O140" s="4"/>
      <c r="P140" s="4"/>
      <c r="Q140" s="4"/>
      <c r="R140" s="4"/>
      <c r="S140" s="4"/>
      <c r="T140" s="4"/>
      <c r="U140" s="4"/>
      <c r="V140" s="4"/>
      <c r="W140" s="4"/>
      <c r="X140" s="4"/>
      <c r="Y140" s="4"/>
      <c r="Z140" s="4"/>
      <c r="AA140" s="4"/>
    </row>
    <row r="141" spans="1:31" ht="45" customHeight="1">
      <c r="A141" s="257" t="s">
        <v>685</v>
      </c>
      <c r="B141" s="277"/>
      <c r="C141" s="222" t="s">
        <v>686</v>
      </c>
      <c r="D141" s="223"/>
      <c r="E141" s="246" t="s">
        <v>687</v>
      </c>
      <c r="F141" s="247"/>
      <c r="G141" s="227" t="s">
        <v>688</v>
      </c>
      <c r="H141" s="228"/>
      <c r="J141" s="4"/>
      <c r="K141" s="4"/>
      <c r="L141" s="4"/>
      <c r="M141" s="4"/>
      <c r="N141" s="4"/>
      <c r="O141" s="4"/>
      <c r="P141" s="4"/>
      <c r="Q141" s="4"/>
      <c r="R141" s="4"/>
      <c r="S141" s="4"/>
      <c r="T141" s="4"/>
      <c r="U141" s="4"/>
      <c r="V141" s="4"/>
      <c r="W141" s="4"/>
      <c r="X141" s="4"/>
      <c r="Y141" s="4"/>
      <c r="Z141" s="4"/>
      <c r="AA141" s="4"/>
      <c r="AB141" s="4"/>
      <c r="AC141" s="4"/>
      <c r="AD141" s="4"/>
      <c r="AE141" s="4"/>
    </row>
    <row r="142" spans="1:31" ht="45" customHeight="1">
      <c r="A142" s="257" t="s">
        <v>689</v>
      </c>
      <c r="B142" s="277"/>
      <c r="C142" s="222" t="s">
        <v>690</v>
      </c>
      <c r="D142" s="223"/>
      <c r="E142" s="246" t="s">
        <v>691</v>
      </c>
      <c r="F142" s="247"/>
      <c r="G142" s="227" t="s">
        <v>692</v>
      </c>
      <c r="H142" s="228"/>
      <c r="J142" s="4"/>
      <c r="K142" s="4"/>
      <c r="L142" s="4"/>
      <c r="M142" s="4"/>
      <c r="N142" s="4"/>
      <c r="O142" s="4"/>
      <c r="P142" s="4"/>
      <c r="Q142" s="4"/>
      <c r="R142" s="4"/>
      <c r="S142" s="4"/>
      <c r="T142" s="4"/>
      <c r="U142" s="4"/>
      <c r="V142" s="4"/>
      <c r="W142" s="4"/>
      <c r="X142" s="4"/>
      <c r="Y142" s="4"/>
      <c r="Z142" s="4"/>
      <c r="AA142" s="4"/>
      <c r="AB142" s="4"/>
      <c r="AC142" s="4"/>
      <c r="AD142" s="4"/>
      <c r="AE142" s="4"/>
    </row>
    <row r="143" spans="1:31" ht="45" customHeight="1">
      <c r="A143" s="278" t="s">
        <v>693</v>
      </c>
      <c r="B143" s="277"/>
      <c r="C143" s="222" t="s">
        <v>694</v>
      </c>
      <c r="D143" s="223"/>
      <c r="E143" s="246" t="s">
        <v>695</v>
      </c>
      <c r="F143" s="247"/>
      <c r="G143" s="227" t="s">
        <v>696</v>
      </c>
      <c r="H143" s="228"/>
    </row>
    <row r="144" spans="1:31" ht="45" customHeight="1">
      <c r="A144" s="278" t="s">
        <v>697</v>
      </c>
      <c r="B144" s="277"/>
      <c r="C144" s="222" t="s">
        <v>694</v>
      </c>
      <c r="D144" s="223"/>
      <c r="E144" s="246" t="s">
        <v>698</v>
      </c>
      <c r="F144" s="247"/>
      <c r="G144" s="227" t="s">
        <v>699</v>
      </c>
      <c r="H144" s="228"/>
    </row>
    <row r="145" spans="1:13" ht="45" customHeight="1">
      <c r="A145" s="278" t="s">
        <v>700</v>
      </c>
      <c r="B145" s="277"/>
      <c r="C145" s="222" t="s">
        <v>694</v>
      </c>
      <c r="D145" s="223"/>
      <c r="E145" s="246" t="s">
        <v>701</v>
      </c>
      <c r="F145" s="247"/>
      <c r="G145" s="227" t="s">
        <v>702</v>
      </c>
      <c r="H145" s="228"/>
    </row>
    <row r="146" spans="1:13" ht="45" customHeight="1">
      <c r="A146" s="278" t="s">
        <v>703</v>
      </c>
      <c r="B146" s="277"/>
      <c r="C146" s="222" t="s">
        <v>694</v>
      </c>
      <c r="D146" s="223"/>
      <c r="E146" s="246" t="s">
        <v>704</v>
      </c>
      <c r="F146" s="247"/>
      <c r="G146" s="227" t="s">
        <v>702</v>
      </c>
      <c r="H146" s="228"/>
    </row>
    <row r="147" spans="1:13" ht="45" customHeight="1">
      <c r="A147" s="279" t="s">
        <v>705</v>
      </c>
      <c r="B147" s="277"/>
      <c r="C147" s="222" t="s">
        <v>706</v>
      </c>
      <c r="D147" s="223"/>
      <c r="E147" s="246" t="s">
        <v>707</v>
      </c>
      <c r="F147" s="247"/>
      <c r="G147" s="227" t="s">
        <v>708</v>
      </c>
      <c r="H147" s="228"/>
    </row>
    <row r="148" spans="1:13" ht="45" customHeight="1">
      <c r="A148" s="279" t="s">
        <v>709</v>
      </c>
      <c r="B148" s="277"/>
      <c r="C148" s="222" t="s">
        <v>706</v>
      </c>
      <c r="D148" s="223"/>
      <c r="E148" s="246" t="s">
        <v>707</v>
      </c>
      <c r="F148" s="247"/>
      <c r="G148" s="227" t="s">
        <v>708</v>
      </c>
      <c r="H148" s="228"/>
    </row>
    <row r="149" spans="1:13" ht="45" customHeight="1">
      <c r="A149" s="279" t="s">
        <v>710</v>
      </c>
      <c r="B149" s="277"/>
      <c r="C149" s="222" t="s">
        <v>706</v>
      </c>
      <c r="D149" s="223"/>
      <c r="E149" s="246" t="s">
        <v>707</v>
      </c>
      <c r="F149" s="247"/>
      <c r="G149" s="227" t="s">
        <v>711</v>
      </c>
      <c r="H149" s="228"/>
    </row>
    <row r="150" spans="1:13" ht="45" customHeight="1">
      <c r="A150" s="280" t="s">
        <v>537</v>
      </c>
      <c r="B150" s="230"/>
      <c r="C150" s="231"/>
      <c r="D150" s="232"/>
      <c r="E150" s="233"/>
      <c r="F150" s="234"/>
      <c r="G150" s="235"/>
      <c r="H150" s="281"/>
    </row>
    <row r="151" spans="1:13" ht="45" customHeight="1">
      <c r="A151" s="282" t="s">
        <v>712</v>
      </c>
      <c r="B151" s="283"/>
      <c r="C151" s="239"/>
      <c r="D151" s="240"/>
      <c r="E151" s="241"/>
      <c r="F151" s="242"/>
      <c r="G151" s="243"/>
      <c r="H151" s="284"/>
      <c r="I151" s="4"/>
      <c r="J151" s="4"/>
      <c r="K151" s="4"/>
      <c r="L151" s="4"/>
      <c r="M151" s="4"/>
    </row>
    <row r="152" spans="1:13" ht="45" customHeight="1">
      <c r="A152" s="257" t="s">
        <v>713</v>
      </c>
      <c r="B152" s="277"/>
      <c r="C152" s="222" t="s">
        <v>714</v>
      </c>
      <c r="D152" s="223"/>
      <c r="E152" s="246" t="s">
        <v>715</v>
      </c>
      <c r="F152" s="247"/>
      <c r="G152" s="227" t="s">
        <v>716</v>
      </c>
      <c r="H152" s="228"/>
      <c r="I152" s="4"/>
      <c r="J152" s="4"/>
      <c r="K152" s="4"/>
      <c r="L152" s="4"/>
      <c r="M152" s="4"/>
    </row>
    <row r="153" spans="1:13" ht="45" customHeight="1">
      <c r="A153" s="257" t="s">
        <v>717</v>
      </c>
      <c r="B153" s="277"/>
      <c r="C153" s="222"/>
      <c r="D153" s="223"/>
      <c r="E153" s="246"/>
      <c r="F153" s="247"/>
      <c r="G153" s="227"/>
      <c r="H153" s="228"/>
      <c r="I153" s="4"/>
      <c r="J153" s="4"/>
      <c r="K153" s="4"/>
      <c r="L153" s="4"/>
      <c r="M153" s="4"/>
    </row>
    <row r="154" spans="1:13" ht="45" customHeight="1">
      <c r="A154" s="257" t="s">
        <v>718</v>
      </c>
      <c r="B154" s="277"/>
      <c r="C154" s="222"/>
      <c r="D154" s="223"/>
      <c r="E154" s="246"/>
      <c r="F154" s="247"/>
      <c r="G154" s="227"/>
      <c r="H154" s="228"/>
      <c r="I154" s="4"/>
      <c r="J154" s="4"/>
      <c r="K154" s="4"/>
      <c r="L154" s="4"/>
      <c r="M154" s="4"/>
    </row>
    <row r="155" spans="1:13" ht="45" customHeight="1">
      <c r="A155" s="257" t="s">
        <v>719</v>
      </c>
      <c r="B155" s="277"/>
      <c r="C155" s="222"/>
      <c r="D155" s="223"/>
      <c r="E155" s="246"/>
      <c r="F155" s="247"/>
      <c r="G155" s="227"/>
      <c r="H155" s="228"/>
      <c r="I155" s="4"/>
      <c r="J155" s="4"/>
      <c r="K155" s="4"/>
      <c r="L155" s="4"/>
      <c r="M155" s="4"/>
    </row>
    <row r="156" spans="1:13" ht="45" customHeight="1">
      <c r="A156" s="257" t="s">
        <v>720</v>
      </c>
      <c r="B156" s="277"/>
      <c r="C156" s="222" t="s">
        <v>721</v>
      </c>
      <c r="D156" s="223"/>
      <c r="E156" s="246" t="s">
        <v>722</v>
      </c>
      <c r="F156" s="247"/>
      <c r="G156" s="227" t="s">
        <v>723</v>
      </c>
      <c r="H156" s="228"/>
      <c r="I156" s="4"/>
      <c r="J156" s="4"/>
      <c r="K156" s="4"/>
      <c r="L156" s="4"/>
      <c r="M156" s="4"/>
    </row>
    <row r="157" spans="1:13" ht="45" customHeight="1">
      <c r="A157" s="285" t="s">
        <v>724</v>
      </c>
      <c r="B157" s="277"/>
      <c r="C157" s="222"/>
      <c r="D157" s="223"/>
      <c r="E157" s="246"/>
      <c r="F157" s="247"/>
      <c r="G157" s="227"/>
      <c r="H157" s="228"/>
      <c r="I157" s="4"/>
      <c r="J157" s="4"/>
      <c r="K157" s="4"/>
      <c r="L157" s="4"/>
      <c r="M157" s="4"/>
    </row>
    <row r="158" spans="1:13" ht="45" customHeight="1">
      <c r="A158" s="285" t="s">
        <v>725</v>
      </c>
      <c r="B158" s="277"/>
      <c r="C158" s="222"/>
      <c r="D158" s="223"/>
      <c r="E158" s="246"/>
      <c r="F158" s="247"/>
      <c r="G158" s="227"/>
      <c r="H158" s="228"/>
      <c r="I158" s="4"/>
      <c r="J158" s="4"/>
      <c r="K158" s="4"/>
      <c r="L158" s="4"/>
      <c r="M158" s="4"/>
    </row>
    <row r="159" spans="1:13" ht="45" customHeight="1">
      <c r="A159" s="285" t="s">
        <v>726</v>
      </c>
      <c r="B159" s="277"/>
      <c r="C159" s="222"/>
      <c r="D159" s="223"/>
      <c r="E159" s="246"/>
      <c r="F159" s="247"/>
      <c r="G159" s="227"/>
      <c r="H159" s="228"/>
      <c r="I159" s="4"/>
      <c r="J159" s="4"/>
      <c r="K159" s="4"/>
      <c r="L159" s="4"/>
      <c r="M159" s="4"/>
    </row>
    <row r="160" spans="1:13" ht="45" customHeight="1">
      <c r="A160" s="285" t="s">
        <v>727</v>
      </c>
      <c r="B160" s="277"/>
      <c r="C160" s="222" t="s">
        <v>728</v>
      </c>
      <c r="D160" s="223"/>
      <c r="E160" s="246" t="s">
        <v>729</v>
      </c>
      <c r="F160" s="247"/>
      <c r="G160" s="227" t="s">
        <v>730</v>
      </c>
      <c r="H160" s="228"/>
      <c r="I160" s="4"/>
      <c r="J160" s="4"/>
      <c r="K160" s="4"/>
      <c r="L160" s="4"/>
      <c r="M160" s="4"/>
    </row>
    <row r="161" spans="1:20" ht="45" customHeight="1">
      <c r="A161" s="285" t="s">
        <v>731</v>
      </c>
      <c r="B161" s="277"/>
      <c r="C161" s="222" t="s">
        <v>732</v>
      </c>
      <c r="D161" s="223"/>
      <c r="E161" s="246" t="s">
        <v>733</v>
      </c>
      <c r="F161" s="247"/>
      <c r="G161" s="227" t="s">
        <v>734</v>
      </c>
      <c r="H161" s="228"/>
      <c r="I161" s="4"/>
      <c r="J161" s="4"/>
      <c r="K161" s="4"/>
      <c r="L161" s="4"/>
      <c r="M161" s="4"/>
    </row>
    <row r="162" spans="1:20" ht="45" customHeight="1">
      <c r="A162" s="263" t="s">
        <v>537</v>
      </c>
      <c r="B162" s="249"/>
      <c r="C162" s="286"/>
      <c r="D162" s="287"/>
      <c r="E162" s="268"/>
      <c r="F162" s="269"/>
      <c r="G162" s="270"/>
      <c r="H162" s="271"/>
    </row>
    <row r="163" spans="1:20" ht="45" customHeight="1">
      <c r="A163" s="257" t="s">
        <v>735</v>
      </c>
      <c r="B163" s="277"/>
      <c r="C163" s="222" t="s">
        <v>736</v>
      </c>
      <c r="D163" s="223"/>
      <c r="E163" s="246" t="s">
        <v>737</v>
      </c>
      <c r="F163" s="247"/>
      <c r="G163" s="227" t="s">
        <v>738</v>
      </c>
      <c r="H163" s="228"/>
      <c r="I163" s="288"/>
      <c r="J163" s="288"/>
      <c r="K163" s="288"/>
      <c r="L163" s="288"/>
      <c r="M163" s="289"/>
    </row>
    <row r="164" spans="1:20" ht="45" customHeight="1">
      <c r="A164" s="257" t="s">
        <v>739</v>
      </c>
      <c r="B164" s="277"/>
      <c r="C164" s="222" t="s">
        <v>740</v>
      </c>
      <c r="D164" s="223"/>
      <c r="E164" s="246" t="s">
        <v>741</v>
      </c>
      <c r="F164" s="247"/>
      <c r="G164" s="227" t="s">
        <v>742</v>
      </c>
      <c r="H164" s="228"/>
      <c r="I164" s="288"/>
      <c r="J164" s="288"/>
      <c r="K164" s="288"/>
      <c r="L164" s="288"/>
      <c r="M164" s="289"/>
    </row>
    <row r="165" spans="1:20" ht="45" customHeight="1">
      <c r="A165" s="257" t="s">
        <v>743</v>
      </c>
      <c r="B165" s="277"/>
      <c r="C165" s="222" t="s">
        <v>740</v>
      </c>
      <c r="D165" s="223"/>
      <c r="E165" s="246" t="s">
        <v>741</v>
      </c>
      <c r="F165" s="247"/>
      <c r="G165" s="227" t="s">
        <v>744</v>
      </c>
      <c r="H165" s="228"/>
      <c r="I165" s="276"/>
      <c r="J165" s="276"/>
      <c r="K165" s="276"/>
      <c r="L165" s="276"/>
      <c r="M165" s="276"/>
    </row>
    <row r="166" spans="1:20" ht="45" customHeight="1">
      <c r="A166" s="285" t="s">
        <v>745</v>
      </c>
      <c r="B166" s="277"/>
      <c r="C166" s="222" t="s">
        <v>746</v>
      </c>
      <c r="D166" s="223"/>
      <c r="E166" s="246" t="s">
        <v>747</v>
      </c>
      <c r="F166" s="247"/>
      <c r="G166" s="227" t="s">
        <v>748</v>
      </c>
      <c r="H166" s="228"/>
      <c r="I166" s="290"/>
      <c r="J166" s="290"/>
      <c r="K166" s="290"/>
      <c r="L166" s="290"/>
      <c r="M166" s="291"/>
    </row>
    <row r="167" spans="1:20" ht="45" customHeight="1">
      <c r="A167" s="285" t="s">
        <v>749</v>
      </c>
      <c r="B167" s="277"/>
      <c r="C167" s="222"/>
      <c r="D167" s="223"/>
      <c r="E167" s="246"/>
      <c r="F167" s="247"/>
      <c r="G167" s="227"/>
      <c r="H167" s="228"/>
      <c r="I167" s="292"/>
      <c r="J167" s="292"/>
      <c r="K167" s="292"/>
      <c r="L167" s="292"/>
      <c r="M167" s="293"/>
    </row>
    <row r="168" spans="1:20" ht="45" customHeight="1">
      <c r="A168" s="285" t="s">
        <v>750</v>
      </c>
      <c r="B168" s="277"/>
      <c r="C168" s="222" t="s">
        <v>751</v>
      </c>
      <c r="D168" s="223"/>
      <c r="E168" s="246" t="s">
        <v>752</v>
      </c>
      <c r="F168" s="247"/>
      <c r="G168" s="227" t="s">
        <v>753</v>
      </c>
      <c r="H168" s="228"/>
      <c r="I168" s="276"/>
      <c r="J168" s="276"/>
      <c r="K168" s="276"/>
      <c r="L168" s="276"/>
      <c r="M168" s="276"/>
    </row>
    <row r="169" spans="1:20" ht="45" customHeight="1">
      <c r="A169" s="263" t="s">
        <v>537</v>
      </c>
      <c r="B169" s="249"/>
      <c r="C169" s="286"/>
      <c r="D169" s="287"/>
      <c r="E169" s="268"/>
      <c r="F169" s="269"/>
      <c r="G169" s="270"/>
      <c r="H169" s="271"/>
    </row>
    <row r="170" spans="1:20" ht="45" customHeight="1">
      <c r="A170" s="257" t="s">
        <v>754</v>
      </c>
      <c r="B170" s="277"/>
      <c r="C170" s="294" t="s">
        <v>755</v>
      </c>
      <c r="D170" s="223"/>
      <c r="E170" s="246" t="s">
        <v>756</v>
      </c>
      <c r="F170" s="247"/>
      <c r="G170" s="227" t="s">
        <v>757</v>
      </c>
      <c r="H170" s="228"/>
      <c r="I170" s="276"/>
      <c r="J170" s="4"/>
      <c r="K170" s="4"/>
      <c r="L170" s="4"/>
      <c r="M170" s="4"/>
      <c r="N170" s="4"/>
      <c r="O170" s="4"/>
      <c r="P170" s="4"/>
      <c r="Q170" s="4"/>
      <c r="R170" s="4"/>
      <c r="S170" s="4"/>
      <c r="T170" s="4"/>
    </row>
    <row r="171" spans="1:20" ht="45" customHeight="1">
      <c r="A171" s="257" t="s">
        <v>758</v>
      </c>
      <c r="B171" s="277"/>
      <c r="C171" s="294" t="s">
        <v>759</v>
      </c>
      <c r="D171" s="223"/>
      <c r="E171" s="246" t="s">
        <v>760</v>
      </c>
      <c r="F171" s="247"/>
      <c r="G171" s="227" t="s">
        <v>761</v>
      </c>
      <c r="H171" s="228"/>
      <c r="I171" s="276"/>
      <c r="J171" s="4"/>
      <c r="K171" s="4"/>
      <c r="L171" s="4"/>
      <c r="M171" s="4"/>
      <c r="N171" s="4"/>
      <c r="O171" s="4"/>
      <c r="P171" s="4"/>
      <c r="Q171" s="4"/>
      <c r="R171" s="4"/>
      <c r="S171" s="4"/>
      <c r="T171" s="4"/>
    </row>
    <row r="172" spans="1:20" ht="45" customHeight="1">
      <c r="A172" s="257" t="s">
        <v>762</v>
      </c>
      <c r="B172" s="277"/>
      <c r="C172" s="294"/>
      <c r="D172" s="223"/>
      <c r="E172" s="246"/>
      <c r="F172" s="247"/>
      <c r="G172" s="227"/>
      <c r="H172" s="228"/>
      <c r="I172" s="276"/>
      <c r="J172" s="4"/>
      <c r="K172" s="4"/>
      <c r="L172" s="4"/>
      <c r="M172" s="4"/>
      <c r="N172" s="4"/>
      <c r="O172" s="4"/>
      <c r="P172" s="4"/>
      <c r="Q172" s="4"/>
      <c r="R172" s="4"/>
      <c r="S172" s="4"/>
      <c r="T172" s="4"/>
    </row>
    <row r="173" spans="1:20" ht="45" customHeight="1">
      <c r="A173" s="257" t="s">
        <v>763</v>
      </c>
      <c r="B173" s="277"/>
      <c r="C173" s="294" t="s">
        <v>764</v>
      </c>
      <c r="D173" s="190"/>
      <c r="E173" s="246" t="s">
        <v>765</v>
      </c>
      <c r="F173" s="247"/>
      <c r="G173" s="227" t="s">
        <v>766</v>
      </c>
      <c r="H173" s="228"/>
      <c r="I173" s="276"/>
      <c r="J173" s="4"/>
      <c r="K173" s="4"/>
      <c r="L173" s="4"/>
      <c r="M173" s="4"/>
      <c r="N173" s="4"/>
      <c r="O173" s="4"/>
      <c r="P173" s="4"/>
      <c r="Q173" s="4"/>
      <c r="R173" s="4"/>
      <c r="S173" s="4"/>
      <c r="T173" s="4"/>
    </row>
    <row r="174" spans="1:20" ht="45" customHeight="1">
      <c r="A174" s="257" t="s">
        <v>767</v>
      </c>
      <c r="B174" s="277"/>
      <c r="C174" s="294" t="s">
        <v>768</v>
      </c>
      <c r="D174" s="223"/>
      <c r="E174" s="246" t="s">
        <v>769</v>
      </c>
      <c r="F174" s="247"/>
      <c r="G174" s="227" t="s">
        <v>770</v>
      </c>
      <c r="H174" s="228"/>
      <c r="I174" s="276"/>
      <c r="J174" s="4"/>
      <c r="K174" s="4"/>
      <c r="L174" s="4"/>
      <c r="M174" s="4"/>
      <c r="N174" s="4"/>
      <c r="O174" s="4"/>
      <c r="P174" s="4"/>
      <c r="Q174" s="4"/>
      <c r="R174" s="4"/>
      <c r="S174" s="4"/>
      <c r="T174" s="4"/>
    </row>
    <row r="175" spans="1:20" ht="45" customHeight="1">
      <c r="A175" s="257" t="s">
        <v>771</v>
      </c>
      <c r="B175" s="277"/>
      <c r="C175" s="294" t="s">
        <v>772</v>
      </c>
      <c r="D175" s="223"/>
      <c r="E175" s="246" t="s">
        <v>773</v>
      </c>
      <c r="F175" s="247"/>
      <c r="G175" s="227" t="s">
        <v>774</v>
      </c>
      <c r="H175" s="228"/>
      <c r="I175" s="276"/>
      <c r="J175" s="4"/>
      <c r="K175" s="4"/>
      <c r="L175" s="4"/>
      <c r="M175" s="4"/>
      <c r="N175" s="4"/>
      <c r="O175" s="4"/>
      <c r="P175" s="4"/>
      <c r="Q175" s="4"/>
      <c r="R175" s="4"/>
      <c r="S175" s="4"/>
      <c r="T175" s="4"/>
    </row>
    <row r="176" spans="1:20" ht="45" customHeight="1">
      <c r="A176" s="257" t="s">
        <v>775</v>
      </c>
      <c r="B176" s="277"/>
      <c r="C176" s="294" t="s">
        <v>776</v>
      </c>
      <c r="D176" s="223"/>
      <c r="E176" s="246" t="s">
        <v>777</v>
      </c>
      <c r="F176" s="247"/>
      <c r="G176" s="227" t="s">
        <v>778</v>
      </c>
      <c r="H176" s="228"/>
      <c r="I176" s="276"/>
      <c r="J176" s="4"/>
      <c r="K176" s="4"/>
      <c r="L176" s="4"/>
      <c r="M176" s="4"/>
      <c r="N176" s="4"/>
      <c r="O176" s="4"/>
      <c r="P176" s="4"/>
      <c r="Q176" s="4"/>
      <c r="R176" s="4"/>
      <c r="S176" s="4"/>
      <c r="T176" s="4"/>
    </row>
    <row r="177" spans="1:20" ht="45" customHeight="1">
      <c r="A177" s="257" t="s">
        <v>779</v>
      </c>
      <c r="B177" s="277"/>
      <c r="C177" s="294" t="s">
        <v>780</v>
      </c>
      <c r="D177" s="223"/>
      <c r="E177" s="246" t="s">
        <v>781</v>
      </c>
      <c r="F177" s="247"/>
      <c r="G177" s="227" t="s">
        <v>782</v>
      </c>
      <c r="H177" s="228"/>
      <c r="I177" s="276"/>
      <c r="J177" s="4"/>
      <c r="K177" s="4"/>
      <c r="L177" s="4"/>
      <c r="M177" s="4"/>
      <c r="N177" s="4"/>
      <c r="O177" s="4"/>
      <c r="P177" s="4"/>
      <c r="Q177" s="4"/>
      <c r="R177" s="4"/>
      <c r="S177" s="4"/>
      <c r="T177" s="4"/>
    </row>
    <row r="178" spans="1:20" ht="45" customHeight="1">
      <c r="A178" s="257" t="s">
        <v>783</v>
      </c>
      <c r="B178" s="277"/>
      <c r="C178" s="294" t="s">
        <v>784</v>
      </c>
      <c r="D178" s="223"/>
      <c r="E178" s="246" t="s">
        <v>785</v>
      </c>
      <c r="F178" s="247"/>
      <c r="G178" s="227" t="s">
        <v>786</v>
      </c>
      <c r="H178" s="228"/>
      <c r="I178" s="276"/>
      <c r="J178" s="4"/>
      <c r="K178" s="4"/>
      <c r="L178" s="4"/>
      <c r="M178" s="4"/>
      <c r="N178" s="4"/>
      <c r="O178" s="4"/>
      <c r="P178" s="4"/>
      <c r="Q178" s="4"/>
      <c r="R178" s="4"/>
      <c r="S178" s="4"/>
      <c r="T178" s="4"/>
    </row>
  </sheetData>
  <mergeCells count="115">
    <mergeCell ref="A124:A128"/>
    <mergeCell ref="C89:D89"/>
    <mergeCell ref="E89:F89"/>
    <mergeCell ref="G89:H89"/>
    <mergeCell ref="C90:D90"/>
    <mergeCell ref="E90:F90"/>
    <mergeCell ref="G90:H90"/>
    <mergeCell ref="A75:A76"/>
    <mergeCell ref="C75:D75"/>
    <mergeCell ref="E75:F75"/>
    <mergeCell ref="G75:H75"/>
    <mergeCell ref="C77:D77"/>
    <mergeCell ref="E77:F77"/>
    <mergeCell ref="G77:H77"/>
    <mergeCell ref="A68:A71"/>
    <mergeCell ref="C68:D68"/>
    <mergeCell ref="E68:F68"/>
    <mergeCell ref="G68:H68"/>
    <mergeCell ref="A73:A74"/>
    <mergeCell ref="C74:D74"/>
    <mergeCell ref="E74:F74"/>
    <mergeCell ref="G74:H74"/>
    <mergeCell ref="C62:D62"/>
    <mergeCell ref="E62:F62"/>
    <mergeCell ref="G62:H62"/>
    <mergeCell ref="A64:A67"/>
    <mergeCell ref="C64:D64"/>
    <mergeCell ref="E64:F64"/>
    <mergeCell ref="G64:H64"/>
    <mergeCell ref="C65:D65"/>
    <mergeCell ref="C66:D66"/>
    <mergeCell ref="C67:D67"/>
    <mergeCell ref="A59:A62"/>
    <mergeCell ref="C59:D59"/>
    <mergeCell ref="E59:F59"/>
    <mergeCell ref="G59:H59"/>
    <mergeCell ref="C60:D60"/>
    <mergeCell ref="E60:F60"/>
    <mergeCell ref="G60:H60"/>
    <mergeCell ref="C61:D61"/>
    <mergeCell ref="E61:F61"/>
    <mergeCell ref="G61:H61"/>
    <mergeCell ref="G56:H56"/>
    <mergeCell ref="C57:D57"/>
    <mergeCell ref="E57:F57"/>
    <mergeCell ref="G57:H57"/>
    <mergeCell ref="C58:D58"/>
    <mergeCell ref="E58:F58"/>
    <mergeCell ref="G58:H58"/>
    <mergeCell ref="C49:D49"/>
    <mergeCell ref="E49:F49"/>
    <mergeCell ref="G49:H49"/>
    <mergeCell ref="A50:A54"/>
    <mergeCell ref="A55:A58"/>
    <mergeCell ref="C55:D55"/>
    <mergeCell ref="E55:F55"/>
    <mergeCell ref="G55:H55"/>
    <mergeCell ref="C56:D56"/>
    <mergeCell ref="E56:F56"/>
    <mergeCell ref="A36:A40"/>
    <mergeCell ref="C41:D41"/>
    <mergeCell ref="E41:F41"/>
    <mergeCell ref="G41:H41"/>
    <mergeCell ref="A42:A47"/>
    <mergeCell ref="C48:D48"/>
    <mergeCell ref="C33:D33"/>
    <mergeCell ref="C34:D34"/>
    <mergeCell ref="E34:F34"/>
    <mergeCell ref="G34:H34"/>
    <mergeCell ref="C35:D35"/>
    <mergeCell ref="E35:F35"/>
    <mergeCell ref="G35:H35"/>
    <mergeCell ref="A27:A32"/>
    <mergeCell ref="C27:D27"/>
    <mergeCell ref="E27:F27"/>
    <mergeCell ref="G27:H27"/>
    <mergeCell ref="AU27:BG27"/>
    <mergeCell ref="AT28:BF28"/>
    <mergeCell ref="C24:D24"/>
    <mergeCell ref="E24:F24"/>
    <mergeCell ref="G24:H24"/>
    <mergeCell ref="AU24:BG24"/>
    <mergeCell ref="C25:D25"/>
    <mergeCell ref="C26:D26"/>
    <mergeCell ref="E26:F26"/>
    <mergeCell ref="G26:H26"/>
    <mergeCell ref="AU26:BG26"/>
    <mergeCell ref="C22:D22"/>
    <mergeCell ref="E22:F22"/>
    <mergeCell ref="G22:H22"/>
    <mergeCell ref="C23:D23"/>
    <mergeCell ref="E23:F23"/>
    <mergeCell ref="G23:H23"/>
    <mergeCell ref="C15:D15"/>
    <mergeCell ref="A16:A20"/>
    <mergeCell ref="C16:D16"/>
    <mergeCell ref="E16:F16"/>
    <mergeCell ref="G16:H16"/>
    <mergeCell ref="C21:D21"/>
    <mergeCell ref="E21:F21"/>
    <mergeCell ref="G21:H21"/>
    <mergeCell ref="A5:A8"/>
    <mergeCell ref="C5:D5"/>
    <mergeCell ref="E5:F5"/>
    <mergeCell ref="G5:H5"/>
    <mergeCell ref="A9:A14"/>
    <mergeCell ref="C9:D9"/>
    <mergeCell ref="E9:F9"/>
    <mergeCell ref="G9:H9"/>
    <mergeCell ref="C3:D3"/>
    <mergeCell ref="E3:F3"/>
    <mergeCell ref="G3:H3"/>
    <mergeCell ref="C4:D4"/>
    <mergeCell ref="E4:F4"/>
    <mergeCell ref="G4:H4"/>
  </mergeCells>
  <phoneticPr fontId="1"/>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3D1CF649A5C8854F9E27FF347EE8BADC" ma:contentTypeVersion="19" ma:contentTypeDescription="新しいドキュメントを作成します。" ma:contentTypeScope="" ma:versionID="ef3361e05224475f40d46c90eb0676ca">
  <xsd:schema xmlns:xsd="http://www.w3.org/2001/XMLSchema" xmlns:xs="http://www.w3.org/2001/XMLSchema" xmlns:p="http://schemas.microsoft.com/office/2006/metadata/properties" xmlns:ns2="b1a9ce33-88e2-4d98-8b59-c9d5d9c4de54" xmlns:ns3="804b6dc4-b88e-4037-8637-8ae98eeb8627" targetNamespace="http://schemas.microsoft.com/office/2006/metadata/properties" ma:root="true" ma:fieldsID="b41cecd6cbfef9dab3d4938914e6f019" ns2:_="" ns3:_="">
    <xsd:import namespace="b1a9ce33-88e2-4d98-8b59-c9d5d9c4de54"/>
    <xsd:import namespace="804b6dc4-b88e-4037-8637-8ae98eeb862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GenerationTime" minOccurs="0"/>
                <xsd:element ref="ns2:MediaServiceEventHashCode" minOccurs="0"/>
                <xsd:element ref="ns2:MediaServiceSearchPropertie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a9ce33-88e2-4d98-8b59-c9d5d9c4de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64b5366-c61b-493e-a3a4-7d9de5130c77"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04b6dc4-b88e-4037-8637-8ae98eeb8627" elementFormDefault="qualified">
    <xsd:import namespace="http://schemas.microsoft.com/office/2006/documentManagement/types"/>
    <xsd:import namespace="http://schemas.microsoft.com/office/infopath/2007/PartnerControls"/>
    <xsd:element name="SharedWithUsers" ma:index="14"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af70a9f5-cd3e-4fd5-961c-8aae49ac1818}" ma:internalName="TaxCatchAll" ma:showField="CatchAllData" ma:web="804b6dc4-b88e-4037-8637-8ae98eeb862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04b6dc4-b88e-4037-8637-8ae98eeb8627" xsi:nil="true"/>
    <lcf76f155ced4ddcb4097134ff3c332f xmlns="b1a9ce33-88e2-4d98-8b59-c9d5d9c4de5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929108-0E56-4034-87AA-38CAF95685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a9ce33-88e2-4d98-8b59-c9d5d9c4de54"/>
    <ds:schemaRef ds:uri="804b6dc4-b88e-4037-8637-8ae98eeb86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C8A026B-EC14-438D-9DB4-51234E29B3FD}">
  <ds:schemaRefs>
    <ds:schemaRef ds:uri="http://schemas.microsoft.com/sharepoint/v3/contenttype/forms"/>
  </ds:schemaRefs>
</ds:datastoreItem>
</file>

<file path=customXml/itemProps3.xml><?xml version="1.0" encoding="utf-8"?>
<ds:datastoreItem xmlns:ds="http://schemas.openxmlformats.org/officeDocument/2006/customXml" ds:itemID="{EC5E213B-10A1-4AD8-909E-6FBE24D50254}">
  <ds:schemaRefs>
    <ds:schemaRef ds:uri="http://www.w3.org/XML/1998/namespace"/>
    <ds:schemaRef ds:uri="http://schemas.microsoft.com/office/infopath/2007/PartnerControls"/>
    <ds:schemaRef ds:uri="http://purl.org/dc/elements/1.1/"/>
    <ds:schemaRef ds:uri="http://schemas.microsoft.com/office/2006/metadata/properties"/>
    <ds:schemaRef ds:uri="804b6dc4-b88e-4037-8637-8ae98eeb8627"/>
    <ds:schemaRef ds:uri="http://purl.org/dc/terms/"/>
    <ds:schemaRef ds:uri="b1a9ce33-88e2-4d98-8b59-c9d5d9c4de54"/>
    <ds:schemaRef ds:uri="http://schemas.microsoft.com/office/2006/documentManagement/type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74</vt:i4>
      </vt:variant>
    </vt:vector>
  </HeadingPairs>
  <TitlesOfParts>
    <vt:vector size="86" baseType="lpstr">
      <vt:lpstr>F02B Asset - Info</vt:lpstr>
      <vt:lpstr>F03A Asset - Prototype</vt:lpstr>
      <vt:lpstr>F04C Asset- Supplement</vt:lpstr>
      <vt:lpstr>F06B BusinessPartner</vt:lpstr>
      <vt:lpstr>F07A Project</vt:lpstr>
      <vt:lpstr>F08A Non-Std Software</vt:lpstr>
      <vt:lpstr>F09A  Worker List</vt:lpstr>
      <vt:lpstr>F02-A</vt:lpstr>
      <vt:lpstr>F09-A</vt:lpstr>
      <vt:lpstr>F09-B</vt:lpstr>
      <vt:lpstr>Masters</vt:lpstr>
      <vt:lpstr>Legend</vt:lpstr>
      <vt:lpstr>'F08A Non-Std Software'!Asset_Name_Info</vt:lpstr>
      <vt:lpstr>'F09-B'!Asset_Name_Info</vt:lpstr>
      <vt:lpstr>Asset_Name_Info</vt:lpstr>
      <vt:lpstr>'F08A Non-Std Software'!Asset_Name_Proto</vt:lpstr>
      <vt:lpstr>'F09-B'!Asset_Name_Proto</vt:lpstr>
      <vt:lpstr>Asset_Name_Proto</vt:lpstr>
      <vt:lpstr>'F08A Non-Std Software'!Assets_Type</vt:lpstr>
      <vt:lpstr>'F09-B'!Assets_Type</vt:lpstr>
      <vt:lpstr>Assets_Type</vt:lpstr>
      <vt:lpstr>'F08A Non-Std Software'!Availability</vt:lpstr>
      <vt:lpstr>'F09-B'!Availability</vt:lpstr>
      <vt:lpstr>Availability</vt:lpstr>
      <vt:lpstr>'F08A Non-Std Software'!BP_Name</vt:lpstr>
      <vt:lpstr>'F09-B'!BP_Name</vt:lpstr>
      <vt:lpstr>BP_Name</vt:lpstr>
      <vt:lpstr>'F08A Non-Std Software'!Business_Area</vt:lpstr>
      <vt:lpstr>'F09-B'!Business_Area</vt:lpstr>
      <vt:lpstr>Business_Area</vt:lpstr>
      <vt:lpstr>'F08A Non-Std Software'!Category_N</vt:lpstr>
      <vt:lpstr>'F09-B'!Category_N</vt:lpstr>
      <vt:lpstr>Category_N</vt:lpstr>
      <vt:lpstr>'F08A Non-Std Software'!Confidentiality</vt:lpstr>
      <vt:lpstr>'F09-B'!Confidentiality</vt:lpstr>
      <vt:lpstr>Confidentiality</vt:lpstr>
      <vt:lpstr>'F08A Non-Std Software'!Critical_Information_Classification</vt:lpstr>
      <vt:lpstr>'F09-B'!Critical_Information_Classification</vt:lpstr>
      <vt:lpstr>Critical_Information_Classification</vt:lpstr>
      <vt:lpstr>'F08A Non-Std Software'!Customer_Name</vt:lpstr>
      <vt:lpstr>'F09-B'!Customer_Name</vt:lpstr>
      <vt:lpstr>Customer_Name</vt:lpstr>
      <vt:lpstr>'F08A Non-Std Software'!External_Public</vt:lpstr>
      <vt:lpstr>'F09-B'!External_Public</vt:lpstr>
      <vt:lpstr>External_Public</vt:lpstr>
      <vt:lpstr>'F08A Non-Std Software'!Information_Category</vt:lpstr>
      <vt:lpstr>'F09-B'!Information_Category</vt:lpstr>
      <vt:lpstr>Information_Category</vt:lpstr>
      <vt:lpstr>'F08A Non-Std Software'!Integrity</vt:lpstr>
      <vt:lpstr>'F09-B'!Integrity</vt:lpstr>
      <vt:lpstr>Integrity</vt:lpstr>
      <vt:lpstr>'F08A Non-Std Software'!License_Type</vt:lpstr>
      <vt:lpstr>'F09-B'!License_Type</vt:lpstr>
      <vt:lpstr>License_Type</vt:lpstr>
      <vt:lpstr>'F08A Non-Std Software'!Media_form</vt:lpstr>
      <vt:lpstr>'F09-B'!Media_form</vt:lpstr>
      <vt:lpstr>Media_form</vt:lpstr>
      <vt:lpstr>Name_Mail</vt:lpstr>
      <vt:lpstr>'F08A Non-Std Software'!Project_Name</vt:lpstr>
      <vt:lpstr>'F09-B'!Project_Name</vt:lpstr>
      <vt:lpstr>Project_Name</vt:lpstr>
      <vt:lpstr>'F08A Non-Std Software'!Required_Protect_Class</vt:lpstr>
      <vt:lpstr>'F09-B'!Required_Protect_Class</vt:lpstr>
      <vt:lpstr>Required_Protect_Class</vt:lpstr>
      <vt:lpstr>Software_Name</vt:lpstr>
      <vt:lpstr>'F08A Non-Std Software'!Store_Area</vt:lpstr>
      <vt:lpstr>'F09-B'!Store_Area</vt:lpstr>
      <vt:lpstr>Store_Area</vt:lpstr>
      <vt:lpstr>'F08A Non-Std Software'!Subscription</vt:lpstr>
      <vt:lpstr>'F09-B'!Subscription</vt:lpstr>
      <vt:lpstr>Subscription</vt:lpstr>
      <vt:lpstr>'F08A Non-Std Software'!SupplimentName</vt:lpstr>
      <vt:lpstr>'F09-B'!SupplimentName</vt:lpstr>
      <vt:lpstr>SupplimentName</vt:lpstr>
      <vt:lpstr>'F08A Non-Std Software'!Threat_probality_Class</vt:lpstr>
      <vt:lpstr>'F09-B'!Threat_probality_Class</vt:lpstr>
      <vt:lpstr>Threat_probality_Class</vt:lpstr>
      <vt:lpstr>'F08A Non-Std Software'!Vulnerability_Class</vt:lpstr>
      <vt:lpstr>'F09-B'!Vulnerability_Class</vt:lpstr>
      <vt:lpstr>Vulnerability_Class</vt:lpstr>
      <vt:lpstr>'F08A Non-Std Software'!Worker_Name</vt:lpstr>
      <vt:lpstr>'F09-B'!Worker_Name</vt:lpstr>
      <vt:lpstr>Worker_Name</vt:lpstr>
      <vt:lpstr>'F08A Non-Std Software'!Worker_type</vt:lpstr>
      <vt:lpstr>'F09-B'!Worker_type</vt:lpstr>
      <vt:lpstr>Worker_type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安東 宏行 Hiroyuki Ando</dc:creator>
  <cp:keywords/>
  <dc:description/>
  <cp:lastModifiedBy>Chris Wren</cp:lastModifiedBy>
  <cp:revision/>
  <dcterms:created xsi:type="dcterms:W3CDTF">2026-07-10T08:49:52Z</dcterms:created>
  <dcterms:modified xsi:type="dcterms:W3CDTF">2026-08-26T16:45:20Z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0x0101003D1CF649A5C8854F9E27FF347EE8BADC</vt:lpwstr>
  </property>
  <property fmtid="{D5CDD505-2E9C-101B-9397-08002B2CF9AE}" pid="3" name="MediaServiceImageTags">
    <vt:lpwstr/>
  </property>
</Properties>
</file>